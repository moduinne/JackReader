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9585" yWindow="-15" windowWidth="9570" windowHeight="6435" tabRatio="833" activeTab="4"/>
  </bookViews>
  <sheets>
    <sheet name="Data" sheetId="1" r:id="rId1"/>
    <sheet name="Profile" sheetId="2" r:id="rId2"/>
    <sheet name="New v Old Wrap" sheetId="23" r:id="rId3"/>
    <sheet name="AA Workings" sheetId="20" r:id="rId4"/>
    <sheet name="Agreed Vs Current + New" sheetId="38" r:id="rId5"/>
    <sheet name="Agreed Vs Current (AIPR)" sheetId="40" r:id="rId6"/>
  </sheets>
  <definedNames>
    <definedName name="Copy">Profile!$C$9:$L$64</definedName>
    <definedName name="COPY1">Profile!$C$9:$L$41</definedName>
    <definedName name="COPY2">Profile!$C$43:$L$64</definedName>
    <definedName name="CopyAg" localSheetId="5">#REF!</definedName>
    <definedName name="CopyAg" localSheetId="4">#REF!</definedName>
    <definedName name="CopyAg">#REF!</definedName>
    <definedName name="CopyAGhy" localSheetId="5">#REF!</definedName>
    <definedName name="CopyAGhy">#REF!</definedName>
    <definedName name="_xlnm.Print_Area" localSheetId="1">Profile!$C$9:$L$64</definedName>
    <definedName name="Total_Wrap_Admin_Fee">'New v Old Wrap'!$G$19</definedName>
  </definedNames>
  <calcPr calcId="145621"/>
</workbook>
</file>

<file path=xl/calcChain.xml><?xml version="1.0" encoding="utf-8"?>
<calcChain xmlns="http://schemas.openxmlformats.org/spreadsheetml/2006/main">
  <c r="G14" i="20" l="1"/>
  <c r="I14" i="20" s="1"/>
  <c r="A42" i="38"/>
  <c r="G11" i="23"/>
  <c r="G33" i="23"/>
  <c r="G32" i="23"/>
  <c r="T23" i="23"/>
  <c r="M85" i="23"/>
  <c r="I85" i="23" s="1"/>
  <c r="M86" i="23"/>
  <c r="M87" i="23"/>
  <c r="M88" i="23"/>
  <c r="G15" i="20"/>
  <c r="I15" i="20" s="1"/>
  <c r="A34" i="40"/>
  <c r="A33" i="40"/>
  <c r="T32" i="40"/>
  <c r="S32" i="40"/>
  <c r="R32" i="40"/>
  <c r="Q32" i="40"/>
  <c r="A32" i="40"/>
  <c r="T31" i="40"/>
  <c r="S31" i="40"/>
  <c r="R31" i="40"/>
  <c r="Q31" i="40"/>
  <c r="T30" i="40"/>
  <c r="S30" i="40"/>
  <c r="R30" i="40"/>
  <c r="Q30" i="40"/>
  <c r="T29" i="40"/>
  <c r="S29" i="40"/>
  <c r="R29" i="40"/>
  <c r="Q29" i="40"/>
  <c r="A29" i="40"/>
  <c r="T28" i="40"/>
  <c r="S28" i="40"/>
  <c r="R28" i="40"/>
  <c r="Q28" i="40"/>
  <c r="A28" i="40"/>
  <c r="T27" i="40"/>
  <c r="S27" i="40"/>
  <c r="R27" i="40"/>
  <c r="Q27" i="40"/>
  <c r="A27" i="40"/>
  <c r="X12" i="20"/>
  <c r="R12" i="20"/>
  <c r="W12" i="20"/>
  <c r="L4" i="23" s="1"/>
  <c r="Z77" i="23" s="1"/>
  <c r="I67" i="23"/>
  <c r="K67" i="23" s="1"/>
  <c r="I66" i="23"/>
  <c r="K66" i="23" s="1"/>
  <c r="I65" i="23"/>
  <c r="K65" i="23" s="1"/>
  <c r="I64" i="23"/>
  <c r="K64" i="23" s="1"/>
  <c r="I63" i="23"/>
  <c r="K63" i="23" s="1"/>
  <c r="G16" i="20"/>
  <c r="I16" i="20" s="1"/>
  <c r="G17" i="20"/>
  <c r="I17" i="20" s="1"/>
  <c r="G18" i="20"/>
  <c r="I18" i="20" s="1"/>
  <c r="G19" i="20"/>
  <c r="I19" i="20" s="1"/>
  <c r="G20" i="20"/>
  <c r="I20" i="20" s="1"/>
  <c r="G21" i="20"/>
  <c r="I21" i="20" s="1"/>
  <c r="G22" i="20"/>
  <c r="I22" i="20" s="1"/>
  <c r="G23" i="20"/>
  <c r="I23" i="20" s="1"/>
  <c r="G24" i="20"/>
  <c r="I24" i="20" s="1"/>
  <c r="G25" i="20"/>
  <c r="I25" i="20" s="1"/>
  <c r="G26" i="20"/>
  <c r="I26" i="20" s="1"/>
  <c r="G27" i="20"/>
  <c r="I27" i="20" s="1"/>
  <c r="G28" i="20"/>
  <c r="I28" i="20" s="1"/>
  <c r="T28" i="20"/>
  <c r="R26" i="38"/>
  <c r="R27" i="38"/>
  <c r="R28" i="38"/>
  <c r="R29" i="38"/>
  <c r="R30" i="38"/>
  <c r="R31" i="38"/>
  <c r="S26" i="38"/>
  <c r="T26" i="38"/>
  <c r="S27" i="38"/>
  <c r="T27" i="38"/>
  <c r="S28" i="38"/>
  <c r="T28" i="38"/>
  <c r="S29" i="38"/>
  <c r="T29" i="38"/>
  <c r="S30" i="38"/>
  <c r="T30" i="38"/>
  <c r="S31" i="38"/>
  <c r="T31" i="38"/>
  <c r="A33" i="38"/>
  <c r="A32" i="38"/>
  <c r="A31" i="38"/>
  <c r="A28" i="38"/>
  <c r="A27" i="38"/>
  <c r="A26" i="38"/>
  <c r="Q28" i="38"/>
  <c r="Q27" i="38"/>
  <c r="Q30" i="38"/>
  <c r="Q26" i="38"/>
  <c r="Q29" i="38"/>
  <c r="Q31" i="38"/>
  <c r="I49" i="23"/>
  <c r="K49" i="23" s="1"/>
  <c r="I48" i="23"/>
  <c r="K48" i="23" s="1"/>
  <c r="I47" i="23"/>
  <c r="K47" i="23" s="1"/>
  <c r="I46" i="23"/>
  <c r="K46" i="23" s="1"/>
  <c r="I45" i="23"/>
  <c r="K45" i="23" s="1"/>
  <c r="C2" i="20"/>
  <c r="V78" i="23"/>
  <c r="X78" i="23" s="1"/>
  <c r="V77" i="23"/>
  <c r="X77" i="23" s="1"/>
  <c r="V76" i="23"/>
  <c r="X76" i="23" s="1"/>
  <c r="V75" i="23"/>
  <c r="X75" i="23" s="1"/>
  <c r="V74" i="23"/>
  <c r="X74" i="23" s="1"/>
  <c r="V73" i="23"/>
  <c r="X73" i="23" s="1"/>
  <c r="C2" i="2"/>
  <c r="U56" i="2" s="1"/>
  <c r="C15" i="2" s="1"/>
  <c r="L5" i="23"/>
  <c r="P62" i="23"/>
  <c r="P61" i="23" s="1"/>
  <c r="R62" i="23"/>
  <c r="I46" i="40"/>
  <c r="G47" i="40"/>
  <c r="G46" i="40"/>
  <c r="G48" i="40"/>
  <c r="I48" i="40"/>
  <c r="I47" i="40"/>
  <c r="U47" i="2" l="1"/>
  <c r="U22" i="2"/>
  <c r="L48" i="2" s="1"/>
  <c r="C9" i="2"/>
  <c r="U32" i="2"/>
  <c r="F56" i="2" s="1"/>
  <c r="X13" i="20"/>
  <c r="M16" i="20" s="1"/>
  <c r="U13" i="2"/>
  <c r="F46" i="2" s="1"/>
  <c r="U15" i="2"/>
  <c r="U55" i="2"/>
  <c r="C14" i="2" s="1"/>
  <c r="U30" i="2"/>
  <c r="F54" i="2" s="1"/>
  <c r="U11" i="2"/>
  <c r="Y16" i="2" s="1"/>
  <c r="U38" i="2"/>
  <c r="L53" i="2" s="1"/>
  <c r="U45" i="2"/>
  <c r="L60" i="2" s="1"/>
  <c r="U31" i="2"/>
  <c r="F55" i="2" s="1"/>
  <c r="U43" i="2"/>
  <c r="L58" i="2" s="1"/>
  <c r="U14" i="2"/>
  <c r="F47" i="2" s="1"/>
  <c r="U57" i="2"/>
  <c r="C16" i="2" s="1"/>
  <c r="U58" i="2"/>
  <c r="C17" i="2" s="1"/>
  <c r="U54" i="2"/>
  <c r="C13" i="2" s="1"/>
  <c r="U35" i="2"/>
  <c r="F59" i="2" s="1"/>
  <c r="U40" i="2"/>
  <c r="L55" i="2" s="1"/>
  <c r="U16" i="2"/>
  <c r="F49" i="2" s="1"/>
  <c r="U23" i="2"/>
  <c r="L49" i="2" s="1"/>
  <c r="U36" i="2"/>
  <c r="F60" i="2" s="1"/>
  <c r="U42" i="2"/>
  <c r="L57" i="2" s="1"/>
  <c r="U12" i="2"/>
  <c r="F45" i="2" s="1"/>
  <c r="U44" i="2"/>
  <c r="L59" i="2" s="1"/>
  <c r="U24" i="2"/>
  <c r="L50" i="2" s="1"/>
  <c r="Z74" i="23"/>
  <c r="I86" i="23"/>
  <c r="I87" i="23" s="1"/>
  <c r="I88" i="23" s="1"/>
  <c r="Z78" i="23"/>
  <c r="U33" i="2"/>
  <c r="F57" i="2" s="1"/>
  <c r="U18" i="2"/>
  <c r="U53" i="2"/>
  <c r="C12" i="2" s="1"/>
  <c r="U21" i="2"/>
  <c r="L47" i="2" s="1"/>
  <c r="U29" i="2"/>
  <c r="F53" i="2" s="1"/>
  <c r="Z76" i="23"/>
  <c r="Z73" i="23"/>
  <c r="Z75" i="23"/>
  <c r="U39" i="2"/>
  <c r="L54" i="2" s="1"/>
  <c r="U34" i="2"/>
  <c r="F58" i="2" s="1"/>
  <c r="U20" i="2"/>
  <c r="L46" i="2" s="1"/>
  <c r="U41" i="2"/>
  <c r="L56" i="2" s="1"/>
  <c r="U19" i="2"/>
  <c r="U52" i="2"/>
  <c r="C11" i="2" s="1"/>
  <c r="U17" i="2"/>
  <c r="F50" i="2" s="1"/>
  <c r="AB16" i="20"/>
  <c r="U19" i="20"/>
  <c r="AB14" i="20"/>
  <c r="AB17" i="20"/>
  <c r="U16" i="20"/>
  <c r="AB19" i="20"/>
  <c r="U15" i="20"/>
  <c r="AB18" i="20"/>
  <c r="U14" i="20"/>
  <c r="U18" i="20"/>
  <c r="AB15" i="20"/>
  <c r="U17" i="20"/>
  <c r="Y11" i="2" l="1"/>
  <c r="F44" i="2"/>
  <c r="Y15" i="2"/>
  <c r="Y12" i="2"/>
  <c r="F48" i="2"/>
  <c r="Y13" i="2"/>
  <c r="L45" i="2"/>
  <c r="Y14" i="2"/>
  <c r="L44" i="2"/>
  <c r="F32" i="40"/>
  <c r="F31" i="38"/>
  <c r="F29" i="40"/>
  <c r="F28" i="38"/>
  <c r="F33" i="40"/>
  <c r="F32" i="38"/>
  <c r="F26" i="38"/>
  <c r="F27" i="40"/>
  <c r="U12" i="20"/>
  <c r="T14" i="20" s="1"/>
  <c r="R14" i="20" s="1"/>
  <c r="C27" i="40" s="1"/>
  <c r="M15" i="20"/>
  <c r="AB13" i="20"/>
  <c r="F33" i="38"/>
  <c r="F34" i="40"/>
  <c r="F28" i="40"/>
  <c r="F27" i="38"/>
  <c r="C26" i="38" l="1"/>
  <c r="T19" i="20"/>
  <c r="F30" i="40"/>
  <c r="F29" i="38"/>
  <c r="V14" i="20"/>
  <c r="E27" i="40"/>
  <c r="E26" i="38"/>
  <c r="R30" i="20"/>
  <c r="T27" i="20"/>
  <c r="S30" i="20"/>
  <c r="F34" i="38"/>
  <c r="S14" i="20"/>
  <c r="T18" i="20"/>
  <c r="R18" i="20" s="1"/>
  <c r="S18" i="20" s="1"/>
  <c r="T16" i="20"/>
  <c r="R16" i="20" s="1"/>
  <c r="F35" i="40"/>
  <c r="T15" i="20"/>
  <c r="R15" i="20" s="1"/>
  <c r="S15" i="20" s="1"/>
  <c r="T17" i="20"/>
  <c r="C29" i="40" l="1"/>
  <c r="C28" i="38"/>
  <c r="C27" i="38"/>
  <c r="C28" i="40"/>
  <c r="S16" i="20"/>
  <c r="W16" i="20" s="1"/>
  <c r="R23" i="20"/>
  <c r="R35" i="20"/>
  <c r="P34" i="40" s="1"/>
  <c r="R19" i="20"/>
  <c r="V19" i="20" s="1"/>
  <c r="C33" i="40"/>
  <c r="C32" i="38"/>
  <c r="S33" i="20"/>
  <c r="R17" i="20"/>
  <c r="V17" i="20" s="1"/>
  <c r="S35" i="20"/>
  <c r="E33" i="38"/>
  <c r="E34" i="40"/>
  <c r="T23" i="20"/>
  <c r="R31" i="20"/>
  <c r="E28" i="40"/>
  <c r="S31" i="20"/>
  <c r="V15" i="20"/>
  <c r="E27" i="38"/>
  <c r="X14" i="20"/>
  <c r="D26" i="38"/>
  <c r="D27" i="40"/>
  <c r="W14" i="20"/>
  <c r="G26" i="38"/>
  <c r="G27" i="40"/>
  <c r="F35" i="38"/>
  <c r="T24" i="20"/>
  <c r="E32" i="40"/>
  <c r="R33" i="20"/>
  <c r="E31" i="38"/>
  <c r="D28" i="40"/>
  <c r="H28" i="40" s="1"/>
  <c r="X15" i="20"/>
  <c r="D27" i="38"/>
  <c r="H27" i="38" s="1"/>
  <c r="W15" i="20"/>
  <c r="F36" i="40"/>
  <c r="E29" i="40"/>
  <c r="E28" i="38"/>
  <c r="S32" i="20"/>
  <c r="R32" i="20"/>
  <c r="V16" i="20"/>
  <c r="S34" i="20"/>
  <c r="V18" i="20"/>
  <c r="E32" i="38"/>
  <c r="E33" i="40"/>
  <c r="R34" i="20"/>
  <c r="D32" i="38"/>
  <c r="H32" i="38" s="1"/>
  <c r="D33" i="40"/>
  <c r="H33" i="40" s="1"/>
  <c r="X18" i="20"/>
  <c r="W18" i="20"/>
  <c r="P27" i="40"/>
  <c r="P26" i="38"/>
  <c r="P14" i="20"/>
  <c r="P33" i="38" l="1"/>
  <c r="C30" i="40"/>
  <c r="C29" i="38"/>
  <c r="G27" i="38"/>
  <c r="N27" i="38" s="1"/>
  <c r="G28" i="38"/>
  <c r="N28" i="38" s="1"/>
  <c r="G29" i="40"/>
  <c r="N29" i="40" s="1"/>
  <c r="D28" i="38"/>
  <c r="H28" i="38" s="1"/>
  <c r="P19" i="20"/>
  <c r="M34" i="40" s="1"/>
  <c r="G33" i="40"/>
  <c r="N33" i="40" s="1"/>
  <c r="C33" i="38"/>
  <c r="G33" i="38" s="1"/>
  <c r="N33" i="38" s="1"/>
  <c r="C34" i="40"/>
  <c r="G34" i="40" s="1"/>
  <c r="N34" i="40" s="1"/>
  <c r="S19" i="20"/>
  <c r="G32" i="38"/>
  <c r="N32" i="38" s="1"/>
  <c r="D29" i="40"/>
  <c r="H29" i="40" s="1"/>
  <c r="X16" i="20"/>
  <c r="Y16" i="20" s="1"/>
  <c r="K28" i="38" s="1"/>
  <c r="C31" i="38"/>
  <c r="G31" i="38" s="1"/>
  <c r="C32" i="40"/>
  <c r="C35" i="40" s="1"/>
  <c r="R24" i="20"/>
  <c r="S17" i="20"/>
  <c r="G28" i="40"/>
  <c r="N28" i="40" s="1"/>
  <c r="P18" i="20"/>
  <c r="P33" i="40"/>
  <c r="P32" i="38"/>
  <c r="P31" i="38"/>
  <c r="P32" i="40"/>
  <c r="P17" i="20"/>
  <c r="E30" i="40"/>
  <c r="E29" i="38"/>
  <c r="Y14" i="20"/>
  <c r="K26" i="38" s="1"/>
  <c r="J26" i="38"/>
  <c r="N26" i="38"/>
  <c r="E35" i="40"/>
  <c r="J32" i="38"/>
  <c r="Y18" i="20"/>
  <c r="K32" i="38" s="1"/>
  <c r="M5" i="23"/>
  <c r="P28" i="38"/>
  <c r="P29" i="40"/>
  <c r="P16" i="20"/>
  <c r="Y15" i="20"/>
  <c r="K27" i="38" s="1"/>
  <c r="J27" i="38"/>
  <c r="H27" i="40"/>
  <c r="M26" i="38"/>
  <c r="M27" i="40"/>
  <c r="E34" i="38"/>
  <c r="N27" i="40"/>
  <c r="H26" i="38"/>
  <c r="P28" i="40"/>
  <c r="P15" i="20"/>
  <c r="P27" i="38"/>
  <c r="C36" i="40" l="1"/>
  <c r="G29" i="38"/>
  <c r="N29" i="38" s="1"/>
  <c r="C34" i="38"/>
  <c r="H29" i="38"/>
  <c r="D29" i="38"/>
  <c r="J28" i="38"/>
  <c r="G30" i="40"/>
  <c r="N30" i="40" s="1"/>
  <c r="H30" i="40"/>
  <c r="M33" i="38"/>
  <c r="D30" i="40"/>
  <c r="G32" i="40"/>
  <c r="N32" i="40" s="1"/>
  <c r="X19" i="20"/>
  <c r="D33" i="38"/>
  <c r="H33" i="38" s="1"/>
  <c r="D34" i="40"/>
  <c r="H34" i="40" s="1"/>
  <c r="W19" i="20"/>
  <c r="D32" i="40"/>
  <c r="D31" i="38"/>
  <c r="X17" i="20"/>
  <c r="W17" i="20"/>
  <c r="E36" i="40"/>
  <c r="N31" i="38"/>
  <c r="G34" i="38"/>
  <c r="N34" i="38" s="1"/>
  <c r="M29" i="40"/>
  <c r="M28" i="38"/>
  <c r="M31" i="38"/>
  <c r="M32" i="40"/>
  <c r="M32" i="38"/>
  <c r="M33" i="40"/>
  <c r="M27" i="38"/>
  <c r="M28" i="40"/>
  <c r="G35" i="40" l="1"/>
  <c r="N35" i="40" s="1"/>
  <c r="H32" i="40"/>
  <c r="H35" i="40" s="1"/>
  <c r="D35" i="40"/>
  <c r="D36" i="40" s="1"/>
  <c r="M4" i="23"/>
  <c r="Y17" i="20"/>
  <c r="K31" i="38" s="1"/>
  <c r="J31" i="38"/>
  <c r="D34" i="38"/>
  <c r="D35" i="38" s="1"/>
  <c r="H31" i="38"/>
  <c r="H34" i="38" s="1"/>
  <c r="M6" i="23"/>
  <c r="Y19" i="20"/>
  <c r="K33" i="38" s="1"/>
  <c r="J33" i="38"/>
  <c r="K24" i="38" l="1"/>
  <c r="I31" i="38" s="1"/>
  <c r="J35" i="38"/>
  <c r="L7" i="23"/>
  <c r="M63" i="23" s="1"/>
  <c r="M71" i="23"/>
  <c r="I27" i="38" l="1"/>
  <c r="I32" i="38"/>
  <c r="I33" i="38"/>
  <c r="I26" i="38"/>
  <c r="I28" i="38"/>
  <c r="M76" i="23"/>
  <c r="M75" i="23"/>
  <c r="M74" i="23"/>
  <c r="M73" i="23"/>
  <c r="T16" i="23"/>
  <c r="G54" i="23"/>
  <c r="T31" i="23"/>
  <c r="M67" i="23"/>
  <c r="T25" i="23"/>
  <c r="G22" i="23"/>
  <c r="M64" i="23"/>
  <c r="M65" i="23"/>
  <c r="M66" i="23"/>
  <c r="L44" i="23"/>
  <c r="M62" i="23" l="1"/>
  <c r="T62" i="23" s="1"/>
  <c r="T61" i="23" s="1"/>
  <c r="G30" i="23"/>
  <c r="T30" i="23" s="1"/>
  <c r="G10" i="23"/>
  <c r="L10" i="23" s="1"/>
  <c r="J1" i="20" s="1"/>
  <c r="C40" i="38" s="1"/>
  <c r="T22" i="23"/>
  <c r="T26" i="23" s="1"/>
  <c r="G41" i="38" s="1"/>
  <c r="G25" i="23"/>
  <c r="F41" i="38" s="1"/>
  <c r="P44" i="23"/>
  <c r="P43" i="23" s="1"/>
  <c r="M47" i="23"/>
  <c r="M49" i="23"/>
  <c r="M48" i="23"/>
  <c r="M46" i="23"/>
  <c r="M45" i="23"/>
  <c r="L11" i="23" l="1"/>
  <c r="M11" i="23" s="1"/>
  <c r="B42" i="38" s="1"/>
  <c r="G34" i="23"/>
  <c r="H42" i="38" s="1"/>
  <c r="K45" i="40"/>
  <c r="I1" i="20"/>
  <c r="J45" i="40" s="1"/>
  <c r="K48" i="40" s="1"/>
  <c r="F42" i="38"/>
  <c r="T32" i="23"/>
  <c r="G42" i="38" s="1"/>
  <c r="M44" i="23"/>
  <c r="A40" i="38" l="1"/>
  <c r="J41" i="38" s="1"/>
  <c r="K47" i="40"/>
  <c r="G15" i="23"/>
  <c r="G19" i="23" s="1"/>
  <c r="F40" i="38" s="1"/>
  <c r="R44" i="23"/>
  <c r="R43" i="23" s="1"/>
  <c r="T15" i="23"/>
  <c r="T19" i="23" s="1"/>
  <c r="G40" i="38" s="1"/>
  <c r="M43" i="23"/>
  <c r="I40" i="38" l="1"/>
  <c r="J40" i="38"/>
  <c r="I41" i="38"/>
  <c r="I42" i="38"/>
  <c r="J42" i="38"/>
</calcChain>
</file>

<file path=xl/sharedStrings.xml><?xml version="1.0" encoding="utf-8"?>
<sst xmlns="http://schemas.openxmlformats.org/spreadsheetml/2006/main" count="491" uniqueCount="263">
  <si>
    <t>Investor Profile Summary</t>
  </si>
  <si>
    <t>Cash</t>
  </si>
  <si>
    <t>Australian Shares</t>
  </si>
  <si>
    <t>Overseas Shares</t>
  </si>
  <si>
    <t>Property &amp; Infrastructure</t>
  </si>
  <si>
    <t>Returns (pa) - 1 Year</t>
  </si>
  <si>
    <t>Returns (pa) - 3 Year</t>
  </si>
  <si>
    <t>Returns (pa) - 5 Year</t>
  </si>
  <si>
    <t>Returns (pa) - 7 Year</t>
  </si>
  <si>
    <t>Returns (pa) - 10 Year</t>
  </si>
  <si>
    <t>Risk - standard deviation fron return (pa) - 3 year</t>
  </si>
  <si>
    <t>Risk - standard deviation fron return (pa) - 5 year</t>
  </si>
  <si>
    <t>Risk - standard deviation fron return (pa) - 10 year</t>
  </si>
  <si>
    <t>Probability of negative 1 year return (%)</t>
  </si>
  <si>
    <t>Probability of negative return (1 year in x)</t>
  </si>
  <si>
    <t>Worst 3 year return (pa)*</t>
  </si>
  <si>
    <t>Best 3 year return (pa)*</t>
  </si>
  <si>
    <t>Average 3 year return (pa)*</t>
  </si>
  <si>
    <t>Worst 1 year return*</t>
  </si>
  <si>
    <t>Best 1 year return*</t>
  </si>
  <si>
    <t>Average 1 year return*</t>
  </si>
  <si>
    <t>Balanced</t>
  </si>
  <si>
    <t>Secure</t>
  </si>
  <si>
    <t>Defensive</t>
  </si>
  <si>
    <t>Conservative</t>
  </si>
  <si>
    <t>Growth</t>
  </si>
  <si>
    <t>High Growth</t>
  </si>
  <si>
    <t>Nil</t>
  </si>
  <si>
    <t>Very Low</t>
  </si>
  <si>
    <t>Low</t>
  </si>
  <si>
    <t>Moderate</t>
  </si>
  <si>
    <t>High</t>
  </si>
  <si>
    <t>Very High</t>
  </si>
  <si>
    <t>Com 1</t>
  </si>
  <si>
    <t>Com 2</t>
  </si>
  <si>
    <t>Com 3</t>
  </si>
  <si>
    <t>Com 4</t>
  </si>
  <si>
    <t>Com 5</t>
  </si>
  <si>
    <t>Com 6</t>
  </si>
  <si>
    <t>Com 7</t>
  </si>
  <si>
    <t>+/- 0.3%</t>
  </si>
  <si>
    <t>Short term Investment Risk and Volatility Indicator</t>
  </si>
  <si>
    <t>│</t>
  </si>
  <si>
    <t>Strategic Allocations</t>
  </si>
  <si>
    <t>Historical Returns Characteristics</t>
  </si>
  <si>
    <t>Comments</t>
  </si>
  <si>
    <t>• Focuses on the preservation of capital</t>
  </si>
  <si>
    <t>• Return is likely to be low and consistent compared with other options</t>
  </si>
  <si>
    <t>• Restricted in its ability to reduce taxable income or tax effectiveness of income</t>
  </si>
  <si>
    <t>• Not appropriate for investors seeking capital growth</t>
  </si>
  <si>
    <t>• Minimum time-frame for investment is 0-2 years</t>
  </si>
  <si>
    <t>• Investment split is 100% Defensive and 0% Growth</t>
  </si>
  <si>
    <t>• Target above cash (the returns objective) is +0.00%</t>
  </si>
  <si>
    <t>• Income focussed with small exposure to growth assets with some capital risk</t>
  </si>
  <si>
    <t>• Expected to have low fluctuation and low capital risk in short-term</t>
  </si>
  <si>
    <t>• Income generated may have small tax benefits</t>
  </si>
  <si>
    <t>• Suited to investors that seek high level of income or short time-frame</t>
  </si>
  <si>
    <t>• Minimum time-frame for investment is 2-4 years</t>
  </si>
  <si>
    <t>• Investment split is 80% Defensive and 20% Growth</t>
  </si>
  <si>
    <t>• Target above cash (the returns objective) is +1.10%</t>
  </si>
  <si>
    <t xml:space="preserve">• Suited to medium term investors seeking an income stream with some capital growth and a reasonable </t>
  </si>
  <si>
    <t>• High exposure to fixed income securities but also some exposure to share and property markets</t>
  </si>
  <si>
    <t>• Some tax relief on income may be available</t>
  </si>
  <si>
    <t>• Minimum time-frame for investment is 3-5 years</t>
  </si>
  <si>
    <t>• Investment split is 60% Defensive and 40% Growth</t>
  </si>
  <si>
    <t>• Slightly higher exposure to growth assets than income/ defensive assets</t>
  </si>
  <si>
    <t>• Income from portfolio may be partially tax effective</t>
  </si>
  <si>
    <t>• Minimum time-frame for investment is 4-6 years</t>
  </si>
  <si>
    <t>• Investment split is 40% Defensive and 60% Growth</t>
  </si>
  <si>
    <t>• Growth oriented and better suited for long-term investors who accept some investment risk over the long run</t>
  </si>
  <si>
    <t>• Small defensive exposure should slightly reduce the short term fluctuations in value</t>
  </si>
  <si>
    <t>• Portfolio has a high exposure to shares and property to provide long term capital growth</t>
  </si>
  <si>
    <t>• Minimum time-frame for investment is 5-7 years</t>
  </si>
  <si>
    <t>• Investment split is 20% Income and 80% Growth</t>
  </si>
  <si>
    <t>• No exposure to income/ defensive assets</t>
  </si>
  <si>
    <t>• Investors may expect high short term fluctuation in value and a higher chance in capital loss</t>
  </si>
  <si>
    <t>• Investors are prepared to accept this higher risk as a trade off for achieving their long-term investment objectives</t>
  </si>
  <si>
    <t>• Minimum time-frame for investment is 7+ years</t>
  </si>
  <si>
    <t>• Investment split is 0% Income and 100% Growth</t>
  </si>
  <si>
    <t>• Expected to have lower short term fluctuations than other growth based portfolios</t>
  </si>
  <si>
    <t xml:space="preserve">     and aims to produce capital growth over medium-long term</t>
  </si>
  <si>
    <t xml:space="preserve">    degree of capital security but want to protect assets from inflation effects</t>
  </si>
  <si>
    <t xml:space="preserve">• Strong focus on maximising capital growth over the long term and is likely to produce minimal tax effective income </t>
  </si>
  <si>
    <t>Important Note: Strategic Allocations are indicative and may be subject to change depending on your circumstances and market conditions</t>
  </si>
  <si>
    <t>© Lonsdale Financial Group Ltd, AFS Licence No. 246934</t>
  </si>
  <si>
    <t>Asset Class</t>
  </si>
  <si>
    <t>Agreed</t>
  </si>
  <si>
    <t>Agreed Allocation</t>
  </si>
  <si>
    <t>Current Allocation</t>
  </si>
  <si>
    <t>%</t>
  </si>
  <si>
    <t>$</t>
  </si>
  <si>
    <t>Variance</t>
  </si>
  <si>
    <t>Enter amounts in FUM  &amp; Cash</t>
  </si>
  <si>
    <r>
      <t xml:space="preserve">Direct Shares &amp; Managed Funds - </t>
    </r>
    <r>
      <rPr>
        <b/>
        <sz val="10"/>
        <rFont val="Arial"/>
        <family val="2"/>
      </rPr>
      <t>FUM</t>
    </r>
  </si>
  <si>
    <t>Total Portfolio</t>
  </si>
  <si>
    <t>Advisor fee is calculated on FUM</t>
  </si>
  <si>
    <t>For FUM &gt; $2 million confirm fee with L Garnock</t>
  </si>
  <si>
    <t>Ongoing Fee for Service</t>
  </si>
  <si>
    <t xml:space="preserve"> (indicative)</t>
  </si>
  <si>
    <t>Admin Fees</t>
  </si>
  <si>
    <t>Admin Fee</t>
  </si>
  <si>
    <t>Custodial HIN</t>
  </si>
  <si>
    <t>Grand Total</t>
  </si>
  <si>
    <t>Wrap Pricing Comparison</t>
  </si>
  <si>
    <t xml:space="preserve">Super Wrap Pricing Comparison </t>
  </si>
  <si>
    <t>to</t>
  </si>
  <si>
    <t>Each $50k</t>
  </si>
  <si>
    <r>
      <t>Boyce Financial Services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- Advisor Service Fee scale</t>
    </r>
  </si>
  <si>
    <t>Risk - standard deviation from return (pa) - 3 year</t>
  </si>
  <si>
    <t>Risk - standard deviation from return (pa) - 5 year</t>
  </si>
  <si>
    <t>Risk - standard deviation from return (pa) - 10 year</t>
  </si>
  <si>
    <t>Traditional Income Assets</t>
  </si>
  <si>
    <t>Australian Bonds</t>
  </si>
  <si>
    <t>Overseas Bonds</t>
  </si>
  <si>
    <t>Overseas Shares (unhedged)</t>
  </si>
  <si>
    <t>Emerging Markets</t>
  </si>
  <si>
    <t>Alternative Income Assets</t>
  </si>
  <si>
    <t>Australian Listed Property</t>
  </si>
  <si>
    <t>Overseas Listed Property</t>
  </si>
  <si>
    <t>Direct Property</t>
  </si>
  <si>
    <t>Overseas Infrastructure</t>
  </si>
  <si>
    <t>1. Traditional Income Assets = Australian Fixed Interest, Global Fixed Interest</t>
  </si>
  <si>
    <t>• Income streams may be moderately tax effective</t>
  </si>
  <si>
    <t>OFFS</t>
  </si>
  <si>
    <t>+/- 0.4%</t>
  </si>
  <si>
    <t>Listed Infrastructure</t>
  </si>
  <si>
    <t>Diversified Income Assets</t>
  </si>
  <si>
    <t>Information from Lonsdale Risk Profiles</t>
  </si>
  <si>
    <t>Updated from website</t>
  </si>
  <si>
    <t>Total</t>
  </si>
  <si>
    <t>"ESC" to de-activate copy</t>
  </si>
  <si>
    <r>
      <t>Other</t>
    </r>
    <r>
      <rPr>
        <b/>
        <sz val="10"/>
        <rFont val="Arial"/>
        <family val="2"/>
      </rPr>
      <t xml:space="preserve"> Admin Fees (Asgard)</t>
    </r>
  </si>
  <si>
    <t>Alternative</t>
  </si>
  <si>
    <t>Fixed Interest</t>
  </si>
  <si>
    <t>Property</t>
  </si>
  <si>
    <t>Australian Equities</t>
  </si>
  <si>
    <t>International Equities</t>
  </si>
  <si>
    <t>Security Type</t>
  </si>
  <si>
    <t>International Shares</t>
  </si>
  <si>
    <t>International Fixed Interest</t>
  </si>
  <si>
    <t>International Property</t>
  </si>
  <si>
    <t xml:space="preserve">Fixed Interest </t>
  </si>
  <si>
    <t>Min</t>
  </si>
  <si>
    <t>Max</t>
  </si>
  <si>
    <t>Investment Risk Profile</t>
  </si>
  <si>
    <t>Assign</t>
  </si>
  <si>
    <t>Agreed %</t>
  </si>
  <si>
    <t>Agreed $</t>
  </si>
  <si>
    <t>Current %</t>
  </si>
  <si>
    <t>Current $</t>
  </si>
  <si>
    <t>2. Diversified Income Assets = Investment Grade credit, Hybrids, High Yield, Syndicated Loans</t>
  </si>
  <si>
    <t>FEES</t>
  </si>
  <si>
    <t>Cash &amp; TD</t>
  </si>
  <si>
    <t>Lists</t>
  </si>
  <si>
    <t>+/- 0.2%</t>
  </si>
  <si>
    <t>Trustee Fee</t>
  </si>
  <si>
    <t>+/- 2.3%</t>
  </si>
  <si>
    <t>+/- 4.5%</t>
  </si>
  <si>
    <t>+/- 6.5%</t>
  </si>
  <si>
    <t>• Target above cash (the returns objective)*** is +1.80%</t>
  </si>
  <si>
    <t>• Target above cash (the returns objective) is +2.50%</t>
  </si>
  <si>
    <t>• Target above cash (the returns objective) is +3.20%</t>
  </si>
  <si>
    <t>• Target above cash (the returns objective) is +4.00%</t>
  </si>
  <si>
    <t>Total Current</t>
  </si>
  <si>
    <t>Account Fee</t>
  </si>
  <si>
    <t>Fixed Income</t>
  </si>
  <si>
    <t>Alternative Income</t>
  </si>
  <si>
    <t xml:space="preserve">Full review service - minimum Fee for Service - $2,200 </t>
  </si>
  <si>
    <t>+/- 1.6%</t>
  </si>
  <si>
    <t>+/- 2.1%</t>
  </si>
  <si>
    <t>+/- 3.1%</t>
  </si>
  <si>
    <t>+/- 4.1%</t>
  </si>
  <si>
    <t>+/- 4.7%</t>
  </si>
  <si>
    <t>+/- 5.9%</t>
  </si>
  <si>
    <t>+/- 6.4%</t>
  </si>
  <si>
    <t>+/- 7.9%</t>
  </si>
  <si>
    <t>+/- 8.6%</t>
  </si>
  <si>
    <t>+/- 8.4%</t>
  </si>
  <si>
    <t>+/- 10.0%</t>
  </si>
  <si>
    <t>+/- 10.9%</t>
  </si>
  <si>
    <t>Maximum</t>
  </si>
  <si>
    <t>Other</t>
  </si>
  <si>
    <t>Domestic Cash</t>
  </si>
  <si>
    <t>Domestic Equity</t>
  </si>
  <si>
    <t>Domestic Fixed Interest</t>
  </si>
  <si>
    <t>Domestic Property</t>
  </si>
  <si>
    <t>International Cash</t>
  </si>
  <si>
    <t>International Equity</t>
  </si>
  <si>
    <t>Diversified Income</t>
  </si>
  <si>
    <t>Growth Alternatives</t>
  </si>
  <si>
    <t>(Source: Lonsec Limited) Information current as at 31 December 2013</t>
  </si>
  <si>
    <t>* Calculations are based on 10 years of monthly data to 31 December 2013</t>
  </si>
  <si>
    <t>Quantity</t>
  </si>
  <si>
    <t>Market Value</t>
  </si>
  <si>
    <t>Price</t>
  </si>
  <si>
    <t>Blended</t>
  </si>
  <si>
    <t>% is calculated on Total Portfolio</t>
  </si>
  <si>
    <t>Fees calculated on FUM</t>
  </si>
  <si>
    <t>Significant variation from Agreed Allocation</t>
  </si>
  <si>
    <t>Variation %</t>
  </si>
  <si>
    <t>Variation $</t>
  </si>
  <si>
    <t>Additional Funds</t>
  </si>
  <si>
    <t>Add to Current $</t>
  </si>
  <si>
    <t>New Funds</t>
  </si>
  <si>
    <t>Target</t>
  </si>
  <si>
    <t>PA Wrap</t>
  </si>
  <si>
    <t>PA SuperWrap</t>
  </si>
  <si>
    <t>WM Wrap</t>
  </si>
  <si>
    <t>WM SuperWrap</t>
  </si>
  <si>
    <t>Indicative Adviser Fee</t>
  </si>
  <si>
    <t>Allocation</t>
  </si>
  <si>
    <t>AA Check</t>
  </si>
  <si>
    <t>Under Min</t>
  </si>
  <si>
    <t>Over Max</t>
  </si>
  <si>
    <t>Expense Recovery</t>
  </si>
  <si>
    <t>Panorama</t>
  </si>
  <si>
    <t>Pan Wrap</t>
  </si>
  <si>
    <t>Pan SuperWrap</t>
  </si>
  <si>
    <t>Super</t>
  </si>
  <si>
    <t>Estimated Total Fees %</t>
  </si>
  <si>
    <t>Allocation under minimum range specified in Agreed Allocation</t>
  </si>
  <si>
    <t>Allocation over maximum range specified in Agreed Allocation</t>
  </si>
  <si>
    <t>Investment (SMSF)</t>
  </si>
  <si>
    <t>Check Data</t>
  </si>
  <si>
    <t>Total with Additional</t>
  </si>
  <si>
    <r>
      <rPr>
        <b/>
        <sz val="10"/>
        <color rgb="FF0000FF"/>
        <rFont val="Arial"/>
        <family val="2"/>
      </rPr>
      <t xml:space="preserve">Wealth Manager </t>
    </r>
    <r>
      <rPr>
        <b/>
        <sz val="10"/>
        <rFont val="Arial"/>
        <family val="2"/>
      </rPr>
      <t>Admin Fees</t>
    </r>
  </si>
  <si>
    <t>Insignia / Panorama</t>
  </si>
  <si>
    <t>NetWealth</t>
  </si>
  <si>
    <t xml:space="preserve">PA / WM </t>
  </si>
  <si>
    <t>From</t>
  </si>
  <si>
    <t>To</t>
  </si>
  <si>
    <t xml:space="preserve">Rate </t>
  </si>
  <si>
    <t>Max fee per tier</t>
  </si>
  <si>
    <t>Plus</t>
  </si>
  <si>
    <t>Minimum fee</t>
  </si>
  <si>
    <t>ORFR (estimated)</t>
  </si>
  <si>
    <t>(can be up to 0.025%)</t>
  </si>
  <si>
    <t>Insignia / Panorama Super</t>
  </si>
  <si>
    <t>PA / WM Super</t>
  </si>
  <si>
    <t>ORFR</t>
  </si>
  <si>
    <t xml:space="preserve">PA/WM </t>
  </si>
  <si>
    <t>Cash Account</t>
  </si>
  <si>
    <t>Term Deposits</t>
  </si>
  <si>
    <t>Infrastructure</t>
  </si>
  <si>
    <t>Cash account balance</t>
  </si>
  <si>
    <t>NW (Bonus)</t>
  </si>
  <si>
    <t>Cash Rate</t>
  </si>
  <si>
    <t>TD Rates</t>
  </si>
  <si>
    <t>RTIC GST Rebate</t>
  </si>
  <si>
    <t>NetWealth Super</t>
  </si>
  <si>
    <t>-</t>
  </si>
  <si>
    <t>Investment</t>
  </si>
  <si>
    <t>Current Adviser Fee</t>
  </si>
  <si>
    <t>Current</t>
  </si>
  <si>
    <t>Significant variation from AA</t>
  </si>
  <si>
    <t>Indicative Platform Fees</t>
  </si>
  <si>
    <r>
      <rPr>
        <b/>
        <i/>
        <sz val="10"/>
        <rFont val="Avant Garde"/>
        <family val="2"/>
      </rPr>
      <t>#</t>
    </r>
    <r>
      <rPr>
        <sz val="10"/>
        <rFont val="Avant Garde"/>
        <family val="2"/>
      </rPr>
      <t xml:space="preserve"> Benefits</t>
    </r>
  </si>
  <si>
    <r>
      <rPr>
        <b/>
        <i/>
        <sz val="10"/>
        <rFont val="Avant Garde"/>
        <family val="2"/>
      </rPr>
      <t>%</t>
    </r>
    <r>
      <rPr>
        <sz val="10"/>
        <rFont val="Avant Garde"/>
        <family val="2"/>
      </rPr>
      <t xml:space="preserve"> Adviser &amp; Platform Fees (Percentage)</t>
    </r>
  </si>
  <si>
    <r>
      <rPr>
        <b/>
        <i/>
        <sz val="10"/>
        <rFont val="Avant Garde"/>
        <family val="2"/>
      </rPr>
      <t xml:space="preserve"># </t>
    </r>
    <r>
      <rPr>
        <i/>
        <sz val="10"/>
        <rFont val="Avant Garde"/>
        <family val="2"/>
      </rPr>
      <t>Benefits - includes cash, TD &amp; RTIC GST - does not include group pricing.</t>
    </r>
    <r>
      <rPr>
        <b/>
        <sz val="10"/>
        <rFont val="Avant Garde"/>
        <family val="2"/>
      </rPr>
      <t xml:space="preserve"> </t>
    </r>
    <r>
      <rPr>
        <b/>
        <i/>
        <sz val="10"/>
        <rFont val="Avant Garde"/>
        <family val="2"/>
      </rPr>
      <t>%</t>
    </r>
    <r>
      <rPr>
        <b/>
        <sz val="10"/>
        <rFont val="Avant Garde"/>
        <family val="2"/>
      </rPr>
      <t xml:space="preserve"> </t>
    </r>
    <r>
      <rPr>
        <i/>
        <sz val="10"/>
        <rFont val="Avant Garde"/>
        <family val="2"/>
      </rPr>
      <t>based on Indicative Adviser Fee</t>
    </r>
  </si>
  <si>
    <t>Infra allocated to International Equities (Usually Maple Brown)</t>
  </si>
  <si>
    <t>Total amount in TDs on platform</t>
  </si>
  <si>
    <t>Change Req</t>
  </si>
  <si>
    <t>Portfolio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</si>
</sst>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8" formatCode="&quot;$&quot;#,##0.00_);[Red]\(&quot;$&quot;#,##0.00\)"/>
    <numFmt numFmtId="164" formatCode="&quot;$&quot;#,##0;[Red]\-&quot;$&quot;#,##0"/>
    <numFmt numFmtId="165" formatCode="&quot;$&quot;#,##0.00;[Red]\-&quot;$&quot;#,##0.00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%"/>
    <numFmt numFmtId="169" formatCode="0%;[Black]\(0%\)"/>
    <numFmt numFmtId="170" formatCode="_-&quot;$&quot;* #,##0_-;\-&quot;$&quot;* #,##0_-;_-&quot;$&quot;* &quot;-&quot;??_-;_-@_-"/>
    <numFmt numFmtId="171" formatCode="_-&quot;$&quot;\ #,##0_-;[Black]\(\ &quot;$&quot;\ #,##0_-\)"/>
    <numFmt numFmtId="172" formatCode="_-* #,##0_-;\-* #,##0_-;_-* &quot;-&quot;??_-;_-@_-"/>
    <numFmt numFmtId="173" formatCode="0.000%"/>
    <numFmt numFmtId="174" formatCode="0.0000%"/>
    <numFmt numFmtId="175" formatCode="&quot;$&quot;#,##0;[Red]\(&quot;$&quot;#,##0\)"/>
    <numFmt numFmtId="176" formatCode="0.00000%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.5"/>
      <name val="Helvetica"/>
      <family val="2"/>
    </font>
    <font>
      <b/>
      <sz val="10"/>
      <color indexed="9"/>
      <name val="Arial"/>
      <family val="2"/>
    </font>
    <font>
      <sz val="11"/>
      <name val="Arial"/>
      <family val="2"/>
    </font>
    <font>
      <b/>
      <i/>
      <sz val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0"/>
      <name val="Arial"/>
      <family val="2"/>
    </font>
    <font>
      <b/>
      <u/>
      <sz val="11"/>
      <name val="Arial"/>
      <family val="2"/>
    </font>
    <font>
      <sz val="10"/>
      <name val="Avant Garde"/>
      <family val="2"/>
    </font>
    <font>
      <sz val="9"/>
      <name val="Avant Garde"/>
      <family val="2"/>
    </font>
    <font>
      <b/>
      <sz val="10"/>
      <name val="Avant Garde"/>
      <family val="2"/>
    </font>
    <font>
      <b/>
      <sz val="10"/>
      <color indexed="9"/>
      <name val="Avant Garde"/>
      <family val="2"/>
    </font>
    <font>
      <sz val="9"/>
      <name val="Arial"/>
      <family val="2"/>
    </font>
    <font>
      <i/>
      <sz val="9"/>
      <name val="Avant Garde"/>
      <family val="2"/>
    </font>
    <font>
      <sz val="7"/>
      <name val="Avant Garde"/>
      <family val="2"/>
    </font>
    <font>
      <b/>
      <sz val="14"/>
      <name val="Avant Garde"/>
      <family val="2"/>
    </font>
    <font>
      <b/>
      <sz val="10"/>
      <color indexed="12"/>
      <name val="Arial"/>
      <family val="2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0000FF"/>
      <name val="Arial"/>
      <family val="2"/>
    </font>
    <font>
      <b/>
      <sz val="11"/>
      <color rgb="FFFA7D00"/>
      <name val="Calibri"/>
      <family val="2"/>
      <scheme val="minor"/>
    </font>
    <font>
      <b/>
      <sz val="10"/>
      <color rgb="FFFFFF00"/>
      <name val="Arial"/>
      <family val="2"/>
    </font>
    <font>
      <sz val="11"/>
      <color rgb="FF9C6500"/>
      <name val="Calibri"/>
      <family val="2"/>
      <scheme val="minor"/>
    </font>
    <font>
      <b/>
      <sz val="10"/>
      <color rgb="FFFF0000"/>
      <name val="Arial"/>
      <family val="2"/>
    </font>
    <font>
      <b/>
      <sz val="14"/>
      <color indexed="9"/>
      <name val="Arial"/>
      <family val="2"/>
    </font>
    <font>
      <i/>
      <sz val="10"/>
      <name val="Avant Garde"/>
      <family val="2"/>
    </font>
    <font>
      <b/>
      <sz val="10"/>
      <color rgb="FFFFFF00"/>
      <name val="Avant Garde"/>
      <family val="2"/>
    </font>
    <font>
      <b/>
      <i/>
      <sz val="10"/>
      <name val="Avant Garde"/>
      <family val="2"/>
    </font>
    <font>
      <b/>
      <sz val="11"/>
      <color rgb="FF0000FF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/>
      <bottom style="medium">
        <color indexed="8"/>
      </bottom>
      <diagonal/>
    </border>
    <border>
      <left/>
      <right style="medium">
        <color indexed="64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6">
    <xf numFmtId="0" fontId="0" fillId="0" borderId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16" borderId="41" applyNumberFormat="0" applyAlignment="0" applyProtection="0"/>
    <xf numFmtId="0" fontId="26" fillId="17" borderId="0" applyNumberFormat="0" applyBorder="0" applyAlignment="0" applyProtection="0"/>
  </cellStyleXfs>
  <cellXfs count="357">
    <xf numFmtId="0" fontId="0" fillId="0" borderId="0" xfId="0"/>
    <xf numFmtId="0" fontId="0" fillId="0" borderId="0" xfId="0" applyAlignment="1">
      <alignment horizontal="right"/>
    </xf>
    <xf numFmtId="168" fontId="0" fillId="0" borderId="0" xfId="3" applyNumberFormat="1" applyFont="1"/>
    <xf numFmtId="1" fontId="0" fillId="0" borderId="0" xfId="3" applyNumberFormat="1" applyFont="1"/>
    <xf numFmtId="0" fontId="3" fillId="0" borderId="0" xfId="0" applyFont="1"/>
    <xf numFmtId="0" fontId="4" fillId="0" borderId="0" xfId="0" applyFont="1"/>
    <xf numFmtId="9" fontId="0" fillId="0" borderId="0" xfId="3" applyFont="1" applyAlignment="1">
      <alignment horizontal="center"/>
    </xf>
    <xf numFmtId="0" fontId="0" fillId="0" borderId="0" xfId="0" applyAlignment="1">
      <alignment horizontal="center"/>
    </xf>
    <xf numFmtId="168" fontId="0" fillId="0" borderId="0" xfId="3" applyNumberFormat="1" applyFont="1" applyAlignment="1">
      <alignment horizontal="center"/>
    </xf>
    <xf numFmtId="1" fontId="0" fillId="0" borderId="0" xfId="3" applyNumberFormat="1" applyFont="1" applyAlignment="1">
      <alignment horizontal="center"/>
    </xf>
    <xf numFmtId="0" fontId="6" fillId="0" borderId="0" xfId="0" applyFont="1"/>
    <xf numFmtId="0" fontId="3" fillId="2" borderId="0" xfId="0" applyFont="1" applyFill="1"/>
    <xf numFmtId="0" fontId="0" fillId="3" borderId="0" xfId="0" applyFill="1"/>
    <xf numFmtId="0" fontId="3" fillId="0" borderId="0" xfId="0" applyFont="1" applyAlignment="1">
      <alignment horizontal="center"/>
    </xf>
    <xf numFmtId="170" fontId="0" fillId="0" borderId="0" xfId="2" applyNumberFormat="1" applyFont="1"/>
    <xf numFmtId="0" fontId="3" fillId="0" borderId="0" xfId="0" applyFont="1" applyAlignment="1">
      <alignment horizontal="right"/>
    </xf>
    <xf numFmtId="0" fontId="0" fillId="0" borderId="0" xfId="0" applyBorder="1"/>
    <xf numFmtId="1" fontId="0" fillId="0" borderId="0" xfId="0" applyNumberFormat="1"/>
    <xf numFmtId="0" fontId="0" fillId="4" borderId="0" xfId="0" applyFill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0" xfId="0" applyFill="1" applyBorder="1"/>
    <xf numFmtId="0" fontId="3" fillId="5" borderId="0" xfId="0" applyFont="1" applyFill="1" applyBorder="1"/>
    <xf numFmtId="0" fontId="0" fillId="5" borderId="11" xfId="0" applyFill="1" applyBorder="1"/>
    <xf numFmtId="0" fontId="0" fillId="6" borderId="0" xfId="0" applyFill="1" applyBorder="1"/>
    <xf numFmtId="0" fontId="0" fillId="6" borderId="0" xfId="0" applyFill="1" applyBorder="1" applyAlignment="1">
      <alignment horizontal="right"/>
    </xf>
    <xf numFmtId="170" fontId="3" fillId="0" borderId="0" xfId="2" applyNumberFormat="1" applyFont="1" applyFill="1" applyBorder="1" applyProtection="1">
      <protection locked="0"/>
    </xf>
    <xf numFmtId="0" fontId="0" fillId="7" borderId="0" xfId="0" applyFill="1" applyBorder="1" applyAlignment="1">
      <alignment horizontal="right"/>
    </xf>
    <xf numFmtId="0" fontId="0" fillId="7" borderId="0" xfId="0" applyFill="1" applyBorder="1"/>
    <xf numFmtId="170" fontId="3" fillId="6" borderId="0" xfId="2" applyNumberFormat="1" applyFont="1" applyFill="1" applyBorder="1"/>
    <xf numFmtId="0" fontId="3" fillId="5" borderId="0" xfId="0" applyFont="1" applyFill="1" applyBorder="1" applyAlignment="1">
      <alignment horizontal="right"/>
    </xf>
    <xf numFmtId="170" fontId="5" fillId="4" borderId="0" xfId="2" applyNumberFormat="1" applyFont="1" applyFill="1" applyBorder="1" applyAlignment="1">
      <alignment horizontal="center"/>
    </xf>
    <xf numFmtId="10" fontId="5" fillId="4" borderId="0" xfId="3" applyNumberFormat="1" applyFont="1" applyFill="1" applyBorder="1" applyAlignment="1">
      <alignment horizontal="center"/>
    </xf>
    <xf numFmtId="0" fontId="3" fillId="6" borderId="0" xfId="0" applyFont="1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5" borderId="12" xfId="0" applyFill="1" applyBorder="1"/>
    <xf numFmtId="0" fontId="0" fillId="5" borderId="13" xfId="0" applyFill="1" applyBorder="1"/>
    <xf numFmtId="0" fontId="3" fillId="5" borderId="13" xfId="0" applyFont="1" applyFill="1" applyBorder="1" applyAlignment="1">
      <alignment horizontal="right"/>
    </xf>
    <xf numFmtId="0" fontId="0" fillId="5" borderId="14" xfId="0" applyFill="1" applyBorder="1"/>
    <xf numFmtId="0" fontId="8" fillId="0" borderId="0" xfId="0" applyFont="1"/>
    <xf numFmtId="170" fontId="3" fillId="0" borderId="0" xfId="2" applyNumberFormat="1" applyFont="1"/>
    <xf numFmtId="0" fontId="9" fillId="0" borderId="0" xfId="0" applyFont="1"/>
    <xf numFmtId="0" fontId="0" fillId="0" borderId="0" xfId="0" applyFill="1"/>
    <xf numFmtId="0" fontId="10" fillId="0" borderId="0" xfId="0" applyFont="1" applyAlignment="1"/>
    <xf numFmtId="0" fontId="7" fillId="0" borderId="0" xfId="0" applyFont="1"/>
    <xf numFmtId="10" fontId="7" fillId="0" borderId="0" xfId="3" applyNumberFormat="1" applyFont="1"/>
    <xf numFmtId="172" fontId="7" fillId="0" borderId="0" xfId="1" applyNumberFormat="1" applyFont="1"/>
    <xf numFmtId="1" fontId="7" fillId="0" borderId="0" xfId="0" applyNumberFormat="1" applyFont="1"/>
    <xf numFmtId="172" fontId="0" fillId="0" borderId="0" xfId="1" quotePrefix="1" applyNumberFormat="1" applyFont="1" applyAlignment="1">
      <alignment horizontal="left"/>
    </xf>
    <xf numFmtId="172" fontId="0" fillId="0" borderId="0" xfId="1" quotePrefix="1" applyNumberFormat="1" applyFont="1" applyAlignment="1">
      <alignment horizontal="center"/>
    </xf>
    <xf numFmtId="10" fontId="0" fillId="0" borderId="0" xfId="3" applyNumberFormat="1" applyFont="1"/>
    <xf numFmtId="172" fontId="0" fillId="0" borderId="0" xfId="1" applyNumberFormat="1" applyFont="1" applyAlignment="1">
      <alignment horizontal="left"/>
    </xf>
    <xf numFmtId="172" fontId="0" fillId="0" borderId="0" xfId="1" applyNumberFormat="1" applyFont="1" applyAlignment="1">
      <alignment horizontal="center"/>
    </xf>
    <xf numFmtId="0" fontId="0" fillId="0" borderId="0" xfId="0" applyBorder="1" applyAlignment="1">
      <alignment horizontal="right"/>
    </xf>
    <xf numFmtId="0" fontId="3" fillId="0" borderId="0" xfId="0" applyFont="1" applyBorder="1" applyAlignment="1">
      <alignment horizontal="right"/>
    </xf>
    <xf numFmtId="9" fontId="0" fillId="0" borderId="0" xfId="0" applyNumberFormat="1"/>
    <xf numFmtId="168" fontId="12" fillId="0" borderId="0" xfId="0" applyNumberFormat="1" applyFont="1"/>
    <xf numFmtId="0" fontId="12" fillId="0" borderId="0" xfId="0" applyFont="1"/>
    <xf numFmtId="0" fontId="13" fillId="0" borderId="0" xfId="0" applyFont="1"/>
    <xf numFmtId="0" fontId="11" fillId="0" borderId="0" xfId="0" applyFont="1"/>
    <xf numFmtId="0" fontId="11" fillId="0" borderId="0" xfId="0" applyFont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4" fillId="9" borderId="16" xfId="0" applyFont="1" applyFill="1" applyBorder="1" applyAlignment="1">
      <alignment vertical="center"/>
    </xf>
    <xf numFmtId="0" fontId="11" fillId="9" borderId="17" xfId="0" applyFont="1" applyFill="1" applyBorder="1"/>
    <xf numFmtId="0" fontId="11" fillId="9" borderId="18" xfId="0" applyFont="1" applyFill="1" applyBorder="1"/>
    <xf numFmtId="0" fontId="11" fillId="0" borderId="1" xfId="0" applyFont="1" applyBorder="1"/>
    <xf numFmtId="0" fontId="11" fillId="0" borderId="3" xfId="0" applyFont="1" applyBorder="1"/>
    <xf numFmtId="0" fontId="13" fillId="0" borderId="3" xfId="0" applyFont="1" applyBorder="1" applyAlignment="1">
      <alignment horizontal="right"/>
    </xf>
    <xf numFmtId="168" fontId="13" fillId="10" borderId="4" xfId="0" applyNumberFormat="1" applyFont="1" applyFill="1" applyBorder="1" applyAlignment="1">
      <alignment horizontal="center"/>
    </xf>
    <xf numFmtId="168" fontId="13" fillId="10" borderId="19" xfId="0" applyNumberFormat="1" applyFont="1" applyFill="1" applyBorder="1" applyAlignment="1">
      <alignment horizontal="center"/>
    </xf>
    <xf numFmtId="0" fontId="11" fillId="0" borderId="3" xfId="0" applyFont="1" applyBorder="1" applyAlignment="1">
      <alignment horizontal="right"/>
    </xf>
    <xf numFmtId="168" fontId="11" fillId="10" borderId="4" xfId="0" applyNumberFormat="1" applyFont="1" applyFill="1" applyBorder="1" applyAlignment="1">
      <alignment horizontal="center"/>
    </xf>
    <xf numFmtId="168" fontId="11" fillId="10" borderId="19" xfId="0" applyNumberFormat="1" applyFont="1" applyFill="1" applyBorder="1" applyAlignment="1">
      <alignment horizontal="center"/>
    </xf>
    <xf numFmtId="0" fontId="11" fillId="0" borderId="16" xfId="0" applyFont="1" applyBorder="1"/>
    <xf numFmtId="0" fontId="11" fillId="0" borderId="17" xfId="0" applyFont="1" applyBorder="1"/>
    <xf numFmtId="0" fontId="13" fillId="0" borderId="17" xfId="0" applyFont="1" applyBorder="1" applyAlignment="1">
      <alignment horizontal="right"/>
    </xf>
    <xf numFmtId="168" fontId="13" fillId="10" borderId="18" xfId="0" applyNumberFormat="1" applyFont="1" applyFill="1" applyBorder="1" applyAlignment="1">
      <alignment horizontal="center"/>
    </xf>
    <xf numFmtId="0" fontId="11" fillId="0" borderId="17" xfId="0" applyFont="1" applyBorder="1" applyAlignment="1">
      <alignment horizontal="right"/>
    </xf>
    <xf numFmtId="168" fontId="11" fillId="10" borderId="20" xfId="0" applyNumberFormat="1" applyFont="1" applyFill="1" applyBorder="1" applyAlignment="1">
      <alignment horizontal="center"/>
    </xf>
    <xf numFmtId="168" fontId="11" fillId="10" borderId="18" xfId="0" applyNumberFormat="1" applyFont="1" applyFill="1" applyBorder="1" applyAlignment="1">
      <alignment horizontal="center"/>
    </xf>
    <xf numFmtId="0" fontId="11" fillId="0" borderId="6" xfId="0" applyFont="1" applyBorder="1"/>
    <xf numFmtId="0" fontId="11" fillId="0" borderId="2" xfId="0" applyFont="1" applyBorder="1"/>
    <xf numFmtId="0" fontId="11" fillId="0" borderId="2" xfId="0" applyFont="1" applyBorder="1" applyAlignment="1">
      <alignment horizontal="right"/>
    </xf>
    <xf numFmtId="168" fontId="11" fillId="10" borderId="5" xfId="0" applyNumberFormat="1" applyFont="1" applyFill="1" applyBorder="1" applyAlignment="1">
      <alignment horizontal="center"/>
    </xf>
    <xf numFmtId="0" fontId="13" fillId="0" borderId="2" xfId="0" applyFont="1" applyBorder="1" applyAlignment="1">
      <alignment horizontal="right"/>
    </xf>
    <xf numFmtId="168" fontId="13" fillId="10" borderId="21" xfId="0" applyNumberFormat="1" applyFont="1" applyFill="1" applyBorder="1" applyAlignment="1">
      <alignment horizontal="center"/>
    </xf>
    <xf numFmtId="0" fontId="12" fillId="0" borderId="17" xfId="0" applyFont="1" applyBorder="1" applyAlignment="1">
      <alignment horizontal="right"/>
    </xf>
    <xf numFmtId="0" fontId="15" fillId="0" borderId="0" xfId="0" applyFont="1"/>
    <xf numFmtId="0" fontId="12" fillId="0" borderId="16" xfId="0" applyFont="1" applyBorder="1"/>
    <xf numFmtId="168" fontId="12" fillId="10" borderId="18" xfId="3" applyNumberFormat="1" applyFont="1" applyFill="1" applyBorder="1" applyAlignment="1">
      <alignment horizontal="center"/>
    </xf>
    <xf numFmtId="0" fontId="12" fillId="0" borderId="3" xfId="0" applyFont="1" applyBorder="1"/>
    <xf numFmtId="168" fontId="12" fillId="10" borderId="20" xfId="0" applyNumberFormat="1" applyFont="1" applyFill="1" applyBorder="1" applyAlignment="1">
      <alignment horizontal="center"/>
    </xf>
    <xf numFmtId="1" fontId="12" fillId="10" borderId="20" xfId="0" applyNumberFormat="1" applyFont="1" applyFill="1" applyBorder="1" applyAlignment="1">
      <alignment horizontal="center"/>
    </xf>
    <xf numFmtId="0" fontId="16" fillId="0" borderId="0" xfId="0" applyFont="1"/>
    <xf numFmtId="0" fontId="17" fillId="0" borderId="0" xfId="0" applyFont="1"/>
    <xf numFmtId="0" fontId="18" fillId="0" borderId="0" xfId="0" applyFont="1"/>
    <xf numFmtId="0" fontId="3" fillId="11" borderId="0" xfId="0" applyFont="1" applyFill="1" applyAlignment="1">
      <alignment horizontal="center"/>
    </xf>
    <xf numFmtId="0" fontId="5" fillId="4" borderId="0" xfId="0" applyFont="1" applyFill="1"/>
    <xf numFmtId="170" fontId="3" fillId="0" borderId="15" xfId="2" applyNumberFormat="1" applyFont="1" applyBorder="1"/>
    <xf numFmtId="0" fontId="3" fillId="0" borderId="15" xfId="0" applyFont="1" applyBorder="1"/>
    <xf numFmtId="0" fontId="3" fillId="0" borderId="15" xfId="0" applyFont="1" applyBorder="1" applyAlignment="1">
      <alignment horizontal="right"/>
    </xf>
    <xf numFmtId="0" fontId="0" fillId="0" borderId="0" xfId="0" applyProtection="1">
      <protection locked="0"/>
    </xf>
    <xf numFmtId="166" fontId="0" fillId="0" borderId="0" xfId="0" applyNumberFormat="1"/>
    <xf numFmtId="10" fontId="0" fillId="0" borderId="0" xfId="0" applyNumberFormat="1"/>
    <xf numFmtId="9" fontId="3" fillId="0" borderId="0" xfId="3" applyFont="1" applyAlignment="1">
      <alignment horizontal="center"/>
    </xf>
    <xf numFmtId="0" fontId="1" fillId="0" borderId="0" xfId="0" applyFont="1"/>
    <xf numFmtId="168" fontId="1" fillId="0" borderId="0" xfId="3" quotePrefix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1" fillId="5" borderId="0" xfId="0" applyFont="1" applyFill="1" applyBorder="1"/>
    <xf numFmtId="0" fontId="19" fillId="2" borderId="37" xfId="0" applyFont="1" applyFill="1" applyBorder="1" applyAlignment="1" applyProtection="1">
      <alignment horizontal="center"/>
      <protection locked="0"/>
    </xf>
    <xf numFmtId="174" fontId="3" fillId="0" borderId="0" xfId="0" applyNumberFormat="1" applyFont="1" applyAlignment="1">
      <alignment horizontal="right"/>
    </xf>
    <xf numFmtId="170" fontId="3" fillId="0" borderId="17" xfId="0" applyNumberFormat="1" applyFont="1" applyBorder="1"/>
    <xf numFmtId="1" fontId="3" fillId="0" borderId="17" xfId="0" applyNumberFormat="1" applyFont="1" applyBorder="1"/>
    <xf numFmtId="0" fontId="3" fillId="0" borderId="17" xfId="0" applyFont="1" applyBorder="1"/>
    <xf numFmtId="166" fontId="3" fillId="0" borderId="17" xfId="0" applyNumberFormat="1" applyFont="1" applyBorder="1"/>
    <xf numFmtId="9" fontId="25" fillId="18" borderId="0" xfId="0" applyNumberFormat="1" applyFont="1" applyFill="1" applyAlignment="1">
      <alignment horizontal="center"/>
    </xf>
    <xf numFmtId="0" fontId="12" fillId="0" borderId="39" xfId="0" applyFont="1" applyBorder="1" applyAlignment="1" applyProtection="1">
      <alignment vertical="center" wrapText="1"/>
      <protection locked="0"/>
    </xf>
    <xf numFmtId="4" fontId="12" fillId="0" borderId="40" xfId="0" applyNumberFormat="1" applyFont="1" applyBorder="1" applyAlignment="1" applyProtection="1">
      <alignment horizontal="right" vertical="center" wrapText="1"/>
      <protection locked="0"/>
    </xf>
    <xf numFmtId="165" fontId="12" fillId="0" borderId="40" xfId="0" applyNumberFormat="1" applyFont="1" applyBorder="1" applyAlignment="1" applyProtection="1">
      <alignment horizontal="right" vertical="center" wrapText="1"/>
      <protection locked="0"/>
    </xf>
    <xf numFmtId="9" fontId="25" fillId="18" borderId="0" xfId="0" applyNumberFormat="1" applyFont="1" applyFill="1" applyAlignment="1">
      <alignment horizontal="left"/>
    </xf>
    <xf numFmtId="0" fontId="13" fillId="0" borderId="1" xfId="0" applyFont="1" applyBorder="1" applyAlignment="1">
      <alignment horizontal="right"/>
    </xf>
    <xf numFmtId="0" fontId="13" fillId="0" borderId="1" xfId="0" applyFont="1" applyBorder="1" applyAlignment="1">
      <alignment horizontal="center"/>
    </xf>
    <xf numFmtId="0" fontId="11" fillId="0" borderId="5" xfId="0" applyFont="1" applyBorder="1"/>
    <xf numFmtId="0" fontId="11" fillId="0" borderId="22" xfId="0" applyFont="1" applyBorder="1" applyAlignment="1">
      <alignment horizontal="right"/>
    </xf>
    <xf numFmtId="0" fontId="11" fillId="0" borderId="23" xfId="0" applyFont="1" applyBorder="1"/>
    <xf numFmtId="171" fontId="11" fillId="0" borderId="27" xfId="2" applyNumberFormat="1" applyFont="1" applyBorder="1" applyAlignment="1">
      <alignment horizontal="center"/>
    </xf>
    <xf numFmtId="9" fontId="11" fillId="0" borderId="27" xfId="3" applyFont="1" applyBorder="1" applyAlignment="1">
      <alignment horizontal="center"/>
    </xf>
    <xf numFmtId="169" fontId="11" fillId="0" borderId="22" xfId="3" applyNumberFormat="1" applyFont="1" applyBorder="1" applyAlignment="1">
      <alignment horizontal="center"/>
    </xf>
    <xf numFmtId="0" fontId="11" fillId="0" borderId="24" xfId="0" applyFont="1" applyBorder="1" applyAlignment="1">
      <alignment horizontal="right"/>
    </xf>
    <xf numFmtId="0" fontId="11" fillId="0" borderId="25" xfId="0" applyFont="1" applyBorder="1"/>
    <xf numFmtId="9" fontId="11" fillId="0" borderId="24" xfId="3" applyFont="1" applyBorder="1" applyAlignment="1">
      <alignment horizontal="center"/>
    </xf>
    <xf numFmtId="171" fontId="11" fillId="0" borderId="28" xfId="2" applyNumberFormat="1" applyFont="1" applyBorder="1" applyAlignment="1">
      <alignment horizontal="center"/>
    </xf>
    <xf numFmtId="9" fontId="11" fillId="0" borderId="28" xfId="3" applyFont="1" applyBorder="1" applyAlignment="1">
      <alignment horizontal="center"/>
    </xf>
    <xf numFmtId="169" fontId="11" fillId="0" borderId="24" xfId="3" applyNumberFormat="1" applyFont="1" applyBorder="1" applyAlignment="1">
      <alignment horizontal="center"/>
    </xf>
    <xf numFmtId="0" fontId="1" fillId="12" borderId="0" xfId="0" applyFont="1" applyFill="1" applyAlignment="1">
      <alignment horizontal="left"/>
    </xf>
    <xf numFmtId="0" fontId="1" fillId="12" borderId="0" xfId="0" applyFont="1" applyFill="1"/>
    <xf numFmtId="0" fontId="1" fillId="7" borderId="0" xfId="0" applyFont="1" applyFill="1" applyAlignment="1">
      <alignment horizontal="left"/>
    </xf>
    <xf numFmtId="0" fontId="1" fillId="7" borderId="0" xfId="0" applyFont="1" applyFill="1"/>
    <xf numFmtId="0" fontId="13" fillId="0" borderId="6" xfId="0" applyFont="1" applyBorder="1" applyAlignment="1">
      <alignment horizontal="center"/>
    </xf>
    <xf numFmtId="171" fontId="11" fillId="0" borderId="22" xfId="2" applyNumberFormat="1" applyFont="1" applyBorder="1" applyAlignment="1">
      <alignment horizontal="center"/>
    </xf>
    <xf numFmtId="171" fontId="11" fillId="0" borderId="24" xfId="2" applyNumberFormat="1" applyFont="1" applyBorder="1" applyAlignment="1">
      <alignment horizontal="center"/>
    </xf>
    <xf numFmtId="171" fontId="11" fillId="0" borderId="26" xfId="2" applyNumberFormat="1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175" fontId="13" fillId="19" borderId="9" xfId="0" applyNumberFormat="1" applyFont="1" applyFill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42" xfId="0" applyFont="1" applyBorder="1" applyAlignment="1">
      <alignment horizontal="center"/>
    </xf>
    <xf numFmtId="171" fontId="11" fillId="0" borderId="43" xfId="2" applyNumberFormat="1" applyFont="1" applyBorder="1" applyAlignment="1">
      <alignment horizontal="center"/>
    </xf>
    <xf numFmtId="175" fontId="11" fillId="0" borderId="44" xfId="2" applyNumberFormat="1" applyFont="1" applyBorder="1" applyAlignment="1">
      <alignment horizontal="center"/>
    </xf>
    <xf numFmtId="171" fontId="11" fillId="0" borderId="45" xfId="2" applyNumberFormat="1" applyFont="1" applyBorder="1" applyAlignment="1">
      <alignment horizontal="center"/>
    </xf>
    <xf numFmtId="175" fontId="11" fillId="0" borderId="46" xfId="2" applyNumberFormat="1" applyFont="1" applyBorder="1" applyAlignment="1">
      <alignment horizontal="center"/>
    </xf>
    <xf numFmtId="171" fontId="11" fillId="0" borderId="47" xfId="2" applyNumberFormat="1" applyFont="1" applyBorder="1" applyAlignment="1">
      <alignment horizontal="center"/>
    </xf>
    <xf numFmtId="175" fontId="11" fillId="0" borderId="48" xfId="2" applyNumberFormat="1" applyFont="1" applyBorder="1" applyAlignment="1">
      <alignment horizontal="center"/>
    </xf>
    <xf numFmtId="9" fontId="11" fillId="0" borderId="27" xfId="3" applyNumberFormat="1" applyFont="1" applyBorder="1" applyAlignment="1">
      <alignment horizontal="center"/>
    </xf>
    <xf numFmtId="0" fontId="11" fillId="0" borderId="49" xfId="0" applyFont="1" applyBorder="1" applyAlignment="1">
      <alignment horizontal="right"/>
    </xf>
    <xf numFmtId="0" fontId="11" fillId="0" borderId="50" xfId="0" applyFont="1" applyBorder="1"/>
    <xf numFmtId="9" fontId="11" fillId="0" borderId="49" xfId="3" applyFont="1" applyBorder="1" applyAlignment="1">
      <alignment horizontal="center"/>
    </xf>
    <xf numFmtId="171" fontId="11" fillId="0" borderId="51" xfId="2" applyNumberFormat="1" applyFont="1" applyBorder="1" applyAlignment="1">
      <alignment horizontal="center"/>
    </xf>
    <xf numFmtId="9" fontId="11" fillId="0" borderId="51" xfId="3" applyFont="1" applyBorder="1" applyAlignment="1">
      <alignment horizontal="center"/>
    </xf>
    <xf numFmtId="169" fontId="11" fillId="0" borderId="49" xfId="3" applyNumberFormat="1" applyFont="1" applyBorder="1" applyAlignment="1">
      <alignment horizontal="center"/>
    </xf>
    <xf numFmtId="171" fontId="11" fillId="0" borderId="49" xfId="2" applyNumberFormat="1" applyFont="1" applyBorder="1" applyAlignment="1">
      <alignment horizontal="center"/>
    </xf>
    <xf numFmtId="0" fontId="11" fillId="0" borderId="52" xfId="0" applyFont="1" applyBorder="1" applyAlignment="1">
      <alignment horizontal="right"/>
    </xf>
    <xf numFmtId="0" fontId="11" fillId="0" borderId="53" xfId="0" applyFont="1" applyBorder="1"/>
    <xf numFmtId="9" fontId="11" fillId="0" borderId="52" xfId="3" applyFont="1" applyBorder="1" applyAlignment="1">
      <alignment horizontal="center"/>
    </xf>
    <xf numFmtId="171" fontId="11" fillId="0" borderId="54" xfId="2" applyNumberFormat="1" applyFont="1" applyBorder="1" applyAlignment="1">
      <alignment horizontal="center"/>
    </xf>
    <xf numFmtId="9" fontId="11" fillId="0" borderId="54" xfId="3" applyFont="1" applyBorder="1" applyAlignment="1">
      <alignment horizontal="center"/>
    </xf>
    <xf numFmtId="169" fontId="11" fillId="0" borderId="52" xfId="3" applyNumberFormat="1" applyFont="1" applyBorder="1" applyAlignment="1">
      <alignment horizontal="center"/>
    </xf>
    <xf numFmtId="171" fontId="11" fillId="0" borderId="55" xfId="2" applyNumberFormat="1" applyFont="1" applyBorder="1" applyAlignment="1">
      <alignment horizontal="center"/>
    </xf>
    <xf numFmtId="175" fontId="11" fillId="0" borderId="56" xfId="2" applyNumberFormat="1" applyFont="1" applyBorder="1" applyAlignment="1">
      <alignment horizontal="center"/>
    </xf>
    <xf numFmtId="0" fontId="3" fillId="0" borderId="0" xfId="0" applyFont="1" applyBorder="1"/>
    <xf numFmtId="171" fontId="11" fillId="0" borderId="57" xfId="2" applyNumberFormat="1" applyFont="1" applyBorder="1" applyAlignment="1">
      <alignment horizontal="center"/>
    </xf>
    <xf numFmtId="175" fontId="11" fillId="0" borderId="58" xfId="2" applyNumberFormat="1" applyFont="1" applyBorder="1" applyAlignment="1">
      <alignment horizontal="center"/>
    </xf>
    <xf numFmtId="0" fontId="13" fillId="0" borderId="33" xfId="0" applyFont="1" applyFill="1" applyBorder="1" applyAlignment="1">
      <alignment horizontal="right"/>
    </xf>
    <xf numFmtId="0" fontId="13" fillId="0" borderId="59" xfId="0" applyFont="1" applyFill="1" applyBorder="1" applyAlignment="1">
      <alignment horizontal="right"/>
    </xf>
    <xf numFmtId="9" fontId="13" fillId="0" borderId="59" xfId="0" applyNumberFormat="1" applyFont="1" applyFill="1" applyBorder="1" applyAlignment="1">
      <alignment horizontal="center"/>
    </xf>
    <xf numFmtId="171" fontId="13" fillId="0" borderId="59" xfId="2" applyNumberFormat="1" applyFont="1" applyBorder="1" applyAlignment="1">
      <alignment horizontal="center"/>
    </xf>
    <xf numFmtId="169" fontId="13" fillId="0" borderId="59" xfId="3" applyNumberFormat="1" applyFont="1" applyBorder="1" applyAlignment="1">
      <alignment horizontal="center"/>
    </xf>
    <xf numFmtId="0" fontId="3" fillId="0" borderId="34" xfId="0" applyFont="1" applyBorder="1"/>
    <xf numFmtId="0" fontId="13" fillId="0" borderId="60" xfId="0" applyFont="1" applyFill="1" applyBorder="1" applyAlignment="1">
      <alignment horizontal="right"/>
    </xf>
    <xf numFmtId="9" fontId="13" fillId="0" borderId="61" xfId="0" applyNumberFormat="1" applyFont="1" applyFill="1" applyBorder="1" applyAlignment="1">
      <alignment horizontal="center"/>
    </xf>
    <xf numFmtId="171" fontId="13" fillId="0" borderId="62" xfId="2" applyNumberFormat="1" applyFont="1" applyBorder="1" applyAlignment="1">
      <alignment horizontal="center"/>
    </xf>
    <xf numFmtId="169" fontId="13" fillId="0" borderId="61" xfId="3" applyNumberFormat="1" applyFont="1" applyBorder="1" applyAlignment="1">
      <alignment horizontal="center"/>
    </xf>
    <xf numFmtId="171" fontId="13" fillId="0" borderId="63" xfId="2" applyNumberFormat="1" applyFont="1" applyBorder="1" applyAlignment="1">
      <alignment horizontal="center"/>
    </xf>
    <xf numFmtId="9" fontId="11" fillId="0" borderId="2" xfId="3" applyFont="1" applyBorder="1" applyAlignment="1">
      <alignment horizontal="center"/>
    </xf>
    <xf numFmtId="171" fontId="11" fillId="0" borderId="2" xfId="2" applyNumberFormat="1" applyFont="1" applyBorder="1" applyAlignment="1">
      <alignment horizontal="center"/>
    </xf>
    <xf numFmtId="169" fontId="11" fillId="0" borderId="2" xfId="3" applyNumberFormat="1" applyFont="1" applyBorder="1" applyAlignment="1">
      <alignment horizontal="center"/>
    </xf>
    <xf numFmtId="175" fontId="11" fillId="0" borderId="2" xfId="2" applyNumberFormat="1" applyFont="1" applyBorder="1" applyAlignment="1">
      <alignment horizontal="center"/>
    </xf>
    <xf numFmtId="176" fontId="0" fillId="0" borderId="0" xfId="3" applyNumberFormat="1" applyFont="1"/>
    <xf numFmtId="170" fontId="3" fillId="0" borderId="0" xfId="2" applyNumberFormat="1" applyFont="1" applyBorder="1"/>
    <xf numFmtId="0" fontId="13" fillId="0" borderId="0" xfId="0" applyFont="1" applyFill="1" applyBorder="1" applyAlignment="1">
      <alignment horizontal="right"/>
    </xf>
    <xf numFmtId="9" fontId="13" fillId="0" borderId="0" xfId="0" applyNumberFormat="1" applyFont="1" applyFill="1" applyBorder="1" applyAlignment="1">
      <alignment horizontal="center"/>
    </xf>
    <xf numFmtId="171" fontId="13" fillId="0" borderId="0" xfId="2" applyNumberFormat="1" applyFont="1" applyBorder="1" applyAlignment="1">
      <alignment horizontal="center"/>
    </xf>
    <xf numFmtId="169" fontId="13" fillId="0" borderId="0" xfId="3" applyNumberFormat="1" applyFont="1" applyBorder="1" applyAlignment="1">
      <alignment horizontal="center"/>
    </xf>
    <xf numFmtId="171" fontId="13" fillId="15" borderId="33" xfId="2" applyNumberFormat="1" applyFont="1" applyFill="1" applyBorder="1" applyAlignment="1">
      <alignment horizontal="center"/>
    </xf>
    <xf numFmtId="10" fontId="13" fillId="15" borderId="34" xfId="3" applyNumberFormat="1" applyFont="1" applyFill="1" applyBorder="1" applyAlignment="1">
      <alignment horizontal="center"/>
    </xf>
    <xf numFmtId="10" fontId="0" fillId="0" borderId="11" xfId="3" applyNumberFormat="1" applyFont="1" applyBorder="1" applyAlignment="1">
      <alignment horizontal="center"/>
    </xf>
    <xf numFmtId="10" fontId="0" fillId="0" borderId="14" xfId="3" applyNumberFormat="1" applyFont="1" applyBorder="1" applyAlignment="1">
      <alignment horizontal="center"/>
    </xf>
    <xf numFmtId="38" fontId="0" fillId="5" borderId="0" xfId="0" applyNumberFormat="1" applyFill="1" applyBorder="1"/>
    <xf numFmtId="0" fontId="1" fillId="0" borderId="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71" fontId="11" fillId="0" borderId="0" xfId="2" applyNumberFormat="1" applyFont="1" applyBorder="1" applyAlignment="1">
      <alignment horizontal="right"/>
    </xf>
    <xf numFmtId="171" fontId="11" fillId="0" borderId="0" xfId="2" applyNumberFormat="1" applyFont="1" applyBorder="1" applyAlignment="1">
      <alignment horizontal="center"/>
    </xf>
    <xf numFmtId="171" fontId="11" fillId="0" borderId="7" xfId="2" applyNumberFormat="1" applyFont="1" applyBorder="1" applyAlignment="1">
      <alignment horizontal="right"/>
    </xf>
    <xf numFmtId="171" fontId="11" fillId="0" borderId="8" xfId="2" applyNumberFormat="1" applyFont="1" applyBorder="1" applyAlignment="1">
      <alignment horizontal="center"/>
    </xf>
    <xf numFmtId="171" fontId="11" fillId="0" borderId="8" xfId="2" applyNumberFormat="1" applyFont="1" applyBorder="1" applyAlignment="1">
      <alignment horizontal="right"/>
    </xf>
    <xf numFmtId="171" fontId="11" fillId="0" borderId="9" xfId="2" applyNumberFormat="1" applyFont="1" applyBorder="1" applyAlignment="1">
      <alignment horizontal="center"/>
    </xf>
    <xf numFmtId="171" fontId="11" fillId="0" borderId="10" xfId="2" applyNumberFormat="1" applyFont="1" applyBorder="1" applyAlignment="1">
      <alignment horizontal="right"/>
    </xf>
    <xf numFmtId="171" fontId="11" fillId="0" borderId="11" xfId="2" applyNumberFormat="1" applyFont="1" applyBorder="1" applyAlignment="1">
      <alignment horizontal="center"/>
    </xf>
    <xf numFmtId="0" fontId="1" fillId="0" borderId="12" xfId="0" applyFont="1" applyBorder="1" applyAlignment="1">
      <alignment horizontal="right"/>
    </xf>
    <xf numFmtId="171" fontId="11" fillId="0" borderId="13" xfId="2" applyNumberFormat="1" applyFont="1" applyBorder="1" applyAlignment="1">
      <alignment horizontal="center"/>
    </xf>
    <xf numFmtId="0" fontId="1" fillId="0" borderId="13" xfId="0" applyFont="1" applyBorder="1" applyAlignment="1">
      <alignment horizontal="right"/>
    </xf>
    <xf numFmtId="171" fontId="11" fillId="0" borderId="14" xfId="2" applyNumberFormat="1" applyFont="1" applyBorder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2" fontId="0" fillId="0" borderId="0" xfId="0" applyNumberFormat="1"/>
    <xf numFmtId="173" fontId="7" fillId="0" borderId="0" xfId="3" applyNumberFormat="1" applyFont="1"/>
    <xf numFmtId="0" fontId="0" fillId="0" borderId="0" xfId="3" applyNumberFormat="1" applyFont="1"/>
    <xf numFmtId="0" fontId="0" fillId="0" borderId="11" xfId="0" applyBorder="1"/>
    <xf numFmtId="0" fontId="1" fillId="0" borderId="1" xfId="0" applyFont="1" applyBorder="1"/>
    <xf numFmtId="0" fontId="0" fillId="0" borderId="3" xfId="0" applyBorder="1"/>
    <xf numFmtId="0" fontId="3" fillId="0" borderId="3" xfId="0" applyFont="1" applyBorder="1" applyAlignment="1">
      <alignment horizontal="right"/>
    </xf>
    <xf numFmtId="0" fontId="27" fillId="0" borderId="3" xfId="0" applyFont="1" applyBorder="1" applyAlignment="1">
      <alignment horizontal="center"/>
    </xf>
    <xf numFmtId="0" fontId="0" fillId="0" borderId="69" xfId="0" applyBorder="1"/>
    <xf numFmtId="0" fontId="27" fillId="0" borderId="0" xfId="0" applyFont="1" applyBorder="1" applyAlignment="1">
      <alignment horizontal="center"/>
    </xf>
    <xf numFmtId="0" fontId="0" fillId="0" borderId="6" xfId="0" applyBorder="1"/>
    <xf numFmtId="0" fontId="0" fillId="0" borderId="2" xfId="0" applyBorder="1"/>
    <xf numFmtId="0" fontId="3" fillId="0" borderId="2" xfId="0" applyFont="1" applyBorder="1" applyAlignment="1">
      <alignment horizontal="right"/>
    </xf>
    <xf numFmtId="1" fontId="27" fillId="0" borderId="2" xfId="0" applyNumberFormat="1" applyFon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10" fontId="0" fillId="0" borderId="70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0" xfId="0" applyFont="1" applyAlignment="1">
      <alignment horizontal="left"/>
    </xf>
    <xf numFmtId="171" fontId="11" fillId="0" borderId="25" xfId="2" applyNumberFormat="1" applyFont="1" applyBorder="1" applyAlignment="1">
      <alignment horizontal="center"/>
    </xf>
    <xf numFmtId="0" fontId="11" fillId="0" borderId="72" xfId="0" applyFont="1" applyBorder="1" applyAlignment="1">
      <alignment horizontal="center"/>
    </xf>
    <xf numFmtId="0" fontId="1" fillId="5" borderId="0" xfId="0" applyFont="1" applyFill="1" applyBorder="1" applyAlignment="1">
      <alignment horizontal="right"/>
    </xf>
    <xf numFmtId="9" fontId="3" fillId="5" borderId="0" xfId="3" applyFont="1" applyFill="1" applyBorder="1" applyAlignment="1">
      <alignment horizontal="center"/>
    </xf>
    <xf numFmtId="10" fontId="11" fillId="0" borderId="73" xfId="3" applyNumberFormat="1" applyFont="1" applyBorder="1" applyAlignment="1">
      <alignment horizontal="center"/>
    </xf>
    <xf numFmtId="10" fontId="11" fillId="0" borderId="9" xfId="3" applyNumberFormat="1" applyFont="1" applyBorder="1" applyAlignment="1">
      <alignment horizontal="center"/>
    </xf>
    <xf numFmtId="10" fontId="11" fillId="0" borderId="71" xfId="3" applyNumberFormat="1" applyFont="1" applyBorder="1" applyAlignment="1">
      <alignment horizontal="center"/>
    </xf>
    <xf numFmtId="10" fontId="11" fillId="0" borderId="72" xfId="3" applyNumberFormat="1" applyFont="1" applyBorder="1" applyAlignment="1">
      <alignment horizontal="center"/>
    </xf>
    <xf numFmtId="10" fontId="11" fillId="0" borderId="76" xfId="3" applyNumberFormat="1" applyFont="1" applyBorder="1" applyAlignment="1">
      <alignment horizontal="center"/>
    </xf>
    <xf numFmtId="10" fontId="11" fillId="0" borderId="14" xfId="3" applyNumberFormat="1" applyFont="1" applyBorder="1" applyAlignment="1">
      <alignment horizontal="center"/>
    </xf>
    <xf numFmtId="171" fontId="13" fillId="15" borderId="7" xfId="2" applyNumberFormat="1" applyFont="1" applyFill="1" applyBorder="1" applyAlignment="1">
      <alignment horizontal="center"/>
    </xf>
    <xf numFmtId="171" fontId="13" fillId="15" borderId="8" xfId="2" applyNumberFormat="1" applyFont="1" applyFill="1" applyBorder="1" applyAlignment="1">
      <alignment horizontal="center"/>
    </xf>
    <xf numFmtId="10" fontId="13" fillId="15" borderId="9" xfId="3" applyNumberFormat="1" applyFont="1" applyFill="1" applyBorder="1" applyAlignment="1">
      <alignment horizontal="center"/>
    </xf>
    <xf numFmtId="0" fontId="1" fillId="0" borderId="10" xfId="0" applyFont="1" applyBorder="1"/>
    <xf numFmtId="171" fontId="13" fillId="19" borderId="12" xfId="2" applyNumberFormat="1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29" fillId="0" borderId="0" xfId="0" applyFont="1" applyAlignment="1">
      <alignment horizontal="left"/>
    </xf>
    <xf numFmtId="0" fontId="0" fillId="0" borderId="34" xfId="0" applyBorder="1"/>
    <xf numFmtId="0" fontId="11" fillId="0" borderId="34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170" fontId="32" fillId="21" borderId="41" xfId="2" applyNumberFormat="1" applyFont="1" applyFill="1" applyBorder="1" applyProtection="1">
      <protection locked="0"/>
    </xf>
    <xf numFmtId="0" fontId="12" fillId="0" borderId="40" xfId="0" applyFont="1" applyBorder="1" applyAlignment="1" applyProtection="1">
      <alignment horizontal="right" vertical="center" wrapText="1"/>
      <protection locked="0"/>
    </xf>
    <xf numFmtId="0" fontId="11" fillId="0" borderId="39" xfId="0" applyFont="1" applyBorder="1" applyAlignment="1" applyProtection="1">
      <alignment vertical="center" wrapText="1"/>
      <protection locked="0"/>
    </xf>
    <xf numFmtId="4" fontId="11" fillId="0" borderId="40" xfId="0" applyNumberFormat="1" applyFont="1" applyBorder="1" applyAlignment="1" applyProtection="1">
      <alignment horizontal="right" vertical="center" wrapText="1"/>
      <protection locked="0"/>
    </xf>
    <xf numFmtId="165" fontId="11" fillId="0" borderId="40" xfId="0" applyNumberFormat="1" applyFont="1" applyBorder="1" applyAlignment="1" applyProtection="1">
      <alignment horizontal="right" vertical="center" wrapText="1"/>
      <protection locked="0"/>
    </xf>
    <xf numFmtId="0" fontId="0" fillId="11" borderId="0" xfId="0" applyFill="1" applyProtection="1"/>
    <xf numFmtId="0" fontId="20" fillId="11" borderId="0" xfId="0" applyFont="1" applyFill="1" applyProtection="1"/>
    <xf numFmtId="0" fontId="28" fillId="4" borderId="0" xfId="0" applyFont="1" applyFill="1" applyAlignment="1" applyProtection="1">
      <alignment horizontal="center" vertical="center"/>
    </xf>
    <xf numFmtId="170" fontId="28" fillId="4" borderId="0" xfId="0" applyNumberFormat="1" applyFont="1" applyFill="1" applyAlignment="1" applyProtection="1">
      <alignment horizontal="center" vertical="center"/>
    </xf>
    <xf numFmtId="10" fontId="20" fillId="15" borderId="0" xfId="3" applyNumberFormat="1" applyFont="1" applyFill="1" applyAlignment="1" applyProtection="1">
      <alignment horizontal="center" vertical="center"/>
    </xf>
    <xf numFmtId="0" fontId="3" fillId="11" borderId="0" xfId="0" applyFont="1" applyFill="1" applyAlignment="1" applyProtection="1">
      <alignment horizontal="center"/>
    </xf>
    <xf numFmtId="0" fontId="3" fillId="20" borderId="0" xfId="0" applyFont="1" applyFill="1" applyAlignment="1" applyProtection="1">
      <alignment horizontal="center"/>
    </xf>
    <xf numFmtId="0" fontId="0" fillId="0" borderId="0" xfId="0" applyProtection="1"/>
    <xf numFmtId="0" fontId="3" fillId="2" borderId="0" xfId="0" applyFont="1" applyFill="1" applyBorder="1" applyAlignment="1" applyProtection="1">
      <alignment horizontal="right"/>
    </xf>
    <xf numFmtId="10" fontId="30" fillId="18" borderId="13" xfId="0" applyNumberFormat="1" applyFont="1" applyFill="1" applyBorder="1" applyAlignment="1" applyProtection="1">
      <alignment horizontal="center" wrapText="1"/>
    </xf>
    <xf numFmtId="0" fontId="0" fillId="20" borderId="0" xfId="0" applyFill="1" applyProtection="1"/>
    <xf numFmtId="165" fontId="11" fillId="0" borderId="0" xfId="0" applyNumberFormat="1" applyFont="1" applyProtection="1"/>
    <xf numFmtId="0" fontId="3" fillId="14" borderId="0" xfId="0" applyFont="1" applyFill="1" applyAlignment="1" applyProtection="1">
      <alignment horizontal="center"/>
    </xf>
    <xf numFmtId="0" fontId="13" fillId="10" borderId="31" xfId="0" applyFont="1" applyFill="1" applyBorder="1" applyAlignment="1" applyProtection="1">
      <alignment vertical="top" wrapText="1"/>
    </xf>
    <xf numFmtId="0" fontId="13" fillId="10" borderId="36" xfId="0" applyFont="1" applyFill="1" applyBorder="1" applyAlignment="1" applyProtection="1">
      <alignment horizontal="center" vertical="top" wrapText="1"/>
    </xf>
    <xf numFmtId="0" fontId="13" fillId="10" borderId="32" xfId="0" applyFont="1" applyFill="1" applyBorder="1" applyAlignment="1" applyProtection="1">
      <alignment horizontal="center" vertical="top" wrapText="1"/>
    </xf>
    <xf numFmtId="0" fontId="3" fillId="11" borderId="0" xfId="0" applyFont="1" applyFill="1" applyAlignment="1" applyProtection="1">
      <alignment horizontal="right"/>
    </xf>
    <xf numFmtId="0" fontId="13" fillId="5" borderId="35" xfId="0" applyFont="1" applyFill="1" applyBorder="1" applyAlignment="1" applyProtection="1">
      <alignment wrapText="1"/>
    </xf>
    <xf numFmtId="0" fontId="3" fillId="0" borderId="0" xfId="0" applyFont="1" applyBorder="1" applyAlignment="1" applyProtection="1">
      <alignment horizontal="right"/>
    </xf>
    <xf numFmtId="0" fontId="3" fillId="13" borderId="0" xfId="0" applyFont="1" applyFill="1" applyProtection="1"/>
    <xf numFmtId="0" fontId="11" fillId="5" borderId="35" xfId="0" applyFont="1" applyFill="1" applyBorder="1" applyAlignment="1" applyProtection="1">
      <alignment wrapText="1"/>
    </xf>
    <xf numFmtId="0" fontId="3" fillId="11" borderId="0" xfId="0" applyFont="1" applyFill="1" applyProtection="1"/>
    <xf numFmtId="0" fontId="1" fillId="0" borderId="0" xfId="0" applyFont="1" applyProtection="1"/>
    <xf numFmtId="166" fontId="3" fillId="11" borderId="0" xfId="0" applyNumberFormat="1" applyFont="1" applyFill="1" applyProtection="1"/>
    <xf numFmtId="166" fontId="0" fillId="11" borderId="0" xfId="0" applyNumberFormat="1" applyFill="1" applyProtection="1"/>
    <xf numFmtId="0" fontId="1" fillId="11" borderId="0" xfId="0" applyFont="1" applyFill="1" applyProtection="1"/>
    <xf numFmtId="10" fontId="0" fillId="11" borderId="0" xfId="0" applyNumberFormat="1" applyFill="1" applyProtection="1"/>
    <xf numFmtId="170" fontId="3" fillId="8" borderId="0" xfId="0" applyNumberFormat="1" applyFont="1" applyFill="1" applyProtection="1"/>
    <xf numFmtId="170" fontId="3" fillId="15" borderId="0" xfId="0" applyNumberFormat="1" applyFont="1" applyFill="1" applyProtection="1"/>
    <xf numFmtId="0" fontId="13" fillId="8" borderId="29" xfId="0" applyFont="1" applyFill="1" applyBorder="1" applyAlignment="1" applyProtection="1">
      <alignment wrapText="1"/>
    </xf>
    <xf numFmtId="0" fontId="13" fillId="8" borderId="30" xfId="0" applyFont="1" applyFill="1" applyBorder="1" applyAlignment="1" applyProtection="1">
      <alignment horizontal="right" wrapText="1"/>
    </xf>
    <xf numFmtId="0" fontId="13" fillId="15" borderId="0" xfId="0" applyFont="1" applyFill="1" applyBorder="1" applyAlignment="1" applyProtection="1">
      <alignment horizontal="center" wrapText="1"/>
    </xf>
    <xf numFmtId="10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170" fontId="3" fillId="0" borderId="0" xfId="0" applyNumberFormat="1" applyFont="1" applyAlignment="1" applyProtection="1">
      <alignment horizontal="center"/>
    </xf>
    <xf numFmtId="166" fontId="3" fillId="0" borderId="0" xfId="2" applyFont="1" applyProtection="1"/>
    <xf numFmtId="0" fontId="3" fillId="0" borderId="33" xfId="0" applyFont="1" applyFill="1" applyBorder="1" applyAlignment="1" applyProtection="1">
      <alignment horizontal="right"/>
    </xf>
    <xf numFmtId="166" fontId="3" fillId="3" borderId="34" xfId="0" applyNumberFormat="1" applyFont="1" applyFill="1" applyBorder="1" applyProtection="1"/>
    <xf numFmtId="0" fontId="26" fillId="17" borderId="7" xfId="5" applyBorder="1" applyAlignment="1" applyProtection="1">
      <alignment vertical="center" wrapText="1"/>
    </xf>
    <xf numFmtId="0" fontId="26" fillId="17" borderId="9" xfId="5" applyBorder="1" applyAlignment="1" applyProtection="1">
      <alignment vertical="center" wrapText="1"/>
    </xf>
    <xf numFmtId="0" fontId="0" fillId="0" borderId="0" xfId="0" applyAlignment="1" applyProtection="1">
      <alignment horizontal="center"/>
    </xf>
    <xf numFmtId="10" fontId="0" fillId="0" borderId="0" xfId="0" applyNumberFormat="1" applyAlignment="1" applyProtection="1">
      <alignment horizontal="center"/>
    </xf>
    <xf numFmtId="170" fontId="0" fillId="0" borderId="0" xfId="0" applyNumberFormat="1" applyProtection="1"/>
    <xf numFmtId="168" fontId="0" fillId="0" borderId="0" xfId="3" applyNumberFormat="1" applyFont="1" applyAlignment="1" applyProtection="1">
      <alignment horizontal="center"/>
    </xf>
    <xf numFmtId="40" fontId="0" fillId="0" borderId="0" xfId="0" applyNumberFormat="1" applyProtection="1"/>
    <xf numFmtId="0" fontId="11" fillId="0" borderId="7" xfId="0" applyFont="1" applyBorder="1" applyAlignment="1" applyProtection="1">
      <alignment vertical="top" wrapText="1"/>
    </xf>
    <xf numFmtId="166" fontId="0" fillId="0" borderId="9" xfId="2" applyFont="1" applyBorder="1" applyProtection="1"/>
    <xf numFmtId="0" fontId="26" fillId="17" borderId="10" xfId="5" applyBorder="1" applyAlignment="1" applyProtection="1">
      <alignment vertical="center" wrapText="1"/>
    </xf>
    <xf numFmtId="0" fontId="26" fillId="17" borderId="11" xfId="5" applyBorder="1" applyAlignment="1" applyProtection="1">
      <alignment vertical="center" wrapText="1"/>
    </xf>
    <xf numFmtId="0" fontId="1" fillId="11" borderId="0" xfId="0" applyFont="1" applyFill="1" applyAlignment="1" applyProtection="1">
      <alignment horizontal="right"/>
    </xf>
    <xf numFmtId="170" fontId="0" fillId="11" borderId="0" xfId="0" applyNumberFormat="1" applyFill="1" applyProtection="1"/>
    <xf numFmtId="0" fontId="11" fillId="0" borderId="10" xfId="0" applyFont="1" applyBorder="1" applyAlignment="1" applyProtection="1">
      <alignment vertical="top" wrapText="1"/>
    </xf>
    <xf numFmtId="166" fontId="0" fillId="0" borderId="11" xfId="2" applyFont="1" applyBorder="1" applyProtection="1"/>
    <xf numFmtId="170" fontId="3" fillId="11" borderId="0" xfId="0" applyNumberFormat="1" applyFont="1" applyFill="1" applyProtection="1"/>
    <xf numFmtId="165" fontId="0" fillId="11" borderId="0" xfId="0" applyNumberFormat="1" applyFill="1" applyProtection="1"/>
    <xf numFmtId="0" fontId="11" fillId="0" borderId="12" xfId="0" applyFont="1" applyBorder="1" applyAlignment="1" applyProtection="1">
      <alignment vertical="top" wrapText="1"/>
    </xf>
    <xf numFmtId="166" fontId="0" fillId="0" borderId="14" xfId="2" applyFont="1" applyBorder="1" applyProtection="1"/>
    <xf numFmtId="0" fontId="3" fillId="0" borderId="0" xfId="0" applyFont="1" applyFill="1" applyBorder="1" applyAlignment="1" applyProtection="1">
      <alignment horizontal="right"/>
    </xf>
    <xf numFmtId="10" fontId="24" fillId="16" borderId="41" xfId="4" applyNumberFormat="1" applyProtection="1"/>
    <xf numFmtId="10" fontId="0" fillId="0" borderId="0" xfId="3" applyNumberFormat="1" applyFont="1" applyAlignment="1" applyProtection="1">
      <alignment horizontal="center"/>
    </xf>
    <xf numFmtId="0" fontId="26" fillId="17" borderId="12" xfId="5" applyBorder="1" applyAlignment="1" applyProtection="1">
      <alignment vertical="center" wrapText="1"/>
    </xf>
    <xf numFmtId="0" fontId="26" fillId="17" borderId="14" xfId="5" applyBorder="1" applyAlignment="1" applyProtection="1">
      <alignment vertical="center" wrapText="1"/>
    </xf>
    <xf numFmtId="0" fontId="11" fillId="0" borderId="59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71" fontId="13" fillId="0" borderId="13" xfId="2" applyNumberFormat="1" applyFont="1" applyBorder="1" applyAlignment="1">
      <alignment horizontal="center"/>
    </xf>
    <xf numFmtId="0" fontId="3" fillId="0" borderId="59" xfId="0" applyFont="1" applyBorder="1"/>
    <xf numFmtId="0" fontId="13" fillId="0" borderId="59" xfId="0" applyFont="1" applyBorder="1" applyAlignment="1">
      <alignment horizontal="center" vertical="center"/>
    </xf>
    <xf numFmtId="0" fontId="12" fillId="0" borderId="39" xfId="0" applyFont="1" applyBorder="1" applyAlignment="1">
      <alignment vertical="center" wrapText="1"/>
    </xf>
    <xf numFmtId="4" fontId="12" fillId="0" borderId="40" xfId="0" applyNumberFormat="1" applyFont="1" applyBorder="1" applyAlignment="1">
      <alignment horizontal="right" vertical="center" wrapText="1"/>
    </xf>
    <xf numFmtId="165" fontId="12" fillId="0" borderId="40" xfId="0" applyNumberFormat="1" applyFont="1" applyBorder="1" applyAlignment="1">
      <alignment horizontal="right" vertical="center" wrapText="1"/>
    </xf>
    <xf numFmtId="8" fontId="12" fillId="0" borderId="40" xfId="0" applyNumberFormat="1" applyFont="1" applyBorder="1" applyAlignment="1">
      <alignment horizontal="right" vertical="center" wrapText="1"/>
    </xf>
    <xf numFmtId="10" fontId="12" fillId="0" borderId="77" xfId="0" applyNumberFormat="1" applyFont="1" applyBorder="1" applyAlignment="1">
      <alignment horizontal="center" vertical="center" wrapText="1"/>
    </xf>
    <xf numFmtId="10" fontId="12" fillId="0" borderId="38" xfId="0" applyNumberFormat="1" applyFont="1" applyBorder="1" applyAlignment="1">
      <alignment horizontal="center" vertical="center" wrapText="1"/>
    </xf>
    <xf numFmtId="10" fontId="12" fillId="0" borderId="78" xfId="0" applyNumberFormat="1" applyFont="1" applyBorder="1" applyAlignment="1">
      <alignment horizontal="center" vertical="center" wrapText="1"/>
    </xf>
    <xf numFmtId="10" fontId="12" fillId="0" borderId="39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9" fontId="25" fillId="18" borderId="0" xfId="0" applyNumberFormat="1" applyFont="1" applyFill="1" applyAlignment="1">
      <alignment horizontal="center"/>
    </xf>
    <xf numFmtId="0" fontId="11" fillId="0" borderId="33" xfId="0" applyFont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1" fillId="0" borderId="64" xfId="0" applyFont="1" applyBorder="1" applyAlignment="1">
      <alignment horizontal="center" vertical="center" wrapText="1"/>
    </xf>
    <xf numFmtId="0" fontId="11" fillId="0" borderId="65" xfId="0" applyFont="1" applyBorder="1" applyAlignment="1">
      <alignment horizontal="center" vertical="center" wrapText="1"/>
    </xf>
    <xf numFmtId="0" fontId="11" fillId="0" borderId="66" xfId="0" applyFont="1" applyBorder="1" applyAlignment="1">
      <alignment horizontal="center" vertical="center" wrapText="1"/>
    </xf>
    <xf numFmtId="0" fontId="1" fillId="7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13" fillId="0" borderId="33" xfId="0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171" fontId="11" fillId="0" borderId="74" xfId="2" applyNumberFormat="1" applyFont="1" applyBorder="1" applyAlignment="1">
      <alignment horizontal="center"/>
    </xf>
    <xf numFmtId="171" fontId="11" fillId="0" borderId="25" xfId="2" applyNumberFormat="1" applyFont="1" applyBorder="1" applyAlignment="1">
      <alignment horizontal="center"/>
    </xf>
    <xf numFmtId="0" fontId="11" fillId="0" borderId="75" xfId="0" applyFont="1" applyBorder="1" applyAlignment="1">
      <alignment horizontal="center"/>
    </xf>
    <xf numFmtId="0" fontId="3" fillId="19" borderId="13" xfId="0" applyFont="1" applyFill="1" applyBorder="1" applyAlignment="1">
      <alignment horizontal="center"/>
    </xf>
    <xf numFmtId="0" fontId="3" fillId="19" borderId="14" xfId="0" applyFont="1" applyFill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3" fillId="0" borderId="68" xfId="0" applyFont="1" applyBorder="1" applyAlignment="1">
      <alignment horizontal="center"/>
    </xf>
    <xf numFmtId="0" fontId="3" fillId="0" borderId="67" xfId="0" applyFont="1" applyBorder="1" applyAlignment="1">
      <alignment horizontal="center"/>
    </xf>
  </cellXfs>
  <cellStyles count="6">
    <cellStyle name="Calculation" xfId="4" builtinId="22"/>
    <cellStyle name="Comma" xfId="1" builtinId="3"/>
    <cellStyle name="Currency" xfId="2" builtinId="4"/>
    <cellStyle name="Neutral" xfId="5" builtinId="28"/>
    <cellStyle name="Normal" xfId="0" builtinId="0"/>
    <cellStyle name="Percent" xfId="3" builtinId="5"/>
  </cellStyles>
  <dxfs count="36"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indexed="41"/>
        </patternFill>
      </fill>
    </dxf>
    <dxf>
      <fill>
        <patternFill>
          <bgColor indexed="47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indexed="41"/>
        </patternFill>
      </fill>
    </dxf>
    <dxf>
      <fill>
        <patternFill>
          <bgColor indexed="47"/>
        </patternFill>
      </fill>
    </dxf>
    <dxf>
      <fill>
        <patternFill>
          <bgColor indexed="41"/>
        </patternFill>
      </fill>
    </dxf>
    <dxf>
      <fill>
        <patternFill>
          <bgColor indexed="47"/>
        </patternFill>
      </fill>
    </dxf>
    <dxf>
      <fill>
        <patternFill>
          <bgColor indexed="41"/>
        </patternFill>
      </fill>
    </dxf>
    <dxf>
      <fill>
        <patternFill>
          <bgColor indexed="47"/>
        </patternFill>
      </fill>
    </dxf>
    <dxf>
      <fill>
        <patternFill>
          <bgColor indexed="41"/>
        </patternFill>
      </fill>
    </dxf>
    <dxf>
      <fill>
        <patternFill>
          <bgColor indexed="47"/>
        </patternFill>
      </fill>
    </dxf>
    <dxf>
      <fill>
        <patternFill>
          <bgColor indexed="41"/>
        </patternFill>
      </fill>
    </dxf>
    <dxf>
      <fill>
        <patternFill>
          <fgColor indexed="47"/>
          <bgColor indexed="47"/>
        </patternFill>
      </fill>
    </dxf>
    <dxf>
      <fill>
        <patternFill>
          <bgColor indexed="41"/>
        </patternFill>
      </fill>
    </dxf>
    <dxf>
      <fill>
        <patternFill>
          <bgColor indexed="47"/>
        </patternFill>
      </fill>
    </dxf>
    <dxf>
      <fill>
        <patternFill>
          <bgColor indexed="41"/>
        </patternFill>
      </fill>
    </dxf>
    <dxf>
      <fill>
        <patternFill>
          <bgColor indexed="47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indexed="41"/>
        </patternFill>
      </fill>
    </dxf>
    <dxf>
      <fill>
        <patternFill>
          <bgColor indexed="47"/>
        </patternFill>
      </fill>
    </dxf>
    <dxf>
      <fill>
        <patternFill>
          <bgColor indexed="41"/>
        </patternFill>
      </fill>
    </dxf>
    <dxf>
      <fill>
        <patternFill>
          <bgColor indexed="47"/>
        </patternFill>
      </fill>
    </dxf>
    <dxf>
      <fill>
        <patternFill>
          <bgColor indexed="41"/>
        </patternFill>
      </fill>
    </dxf>
    <dxf>
      <fill>
        <patternFill>
          <bgColor indexed="47"/>
        </patternFill>
      </fill>
    </dxf>
    <dxf>
      <fill>
        <patternFill>
          <bgColor indexed="41"/>
        </patternFill>
      </fill>
    </dxf>
    <dxf>
      <fill>
        <patternFill>
          <fgColor indexed="47"/>
          <bgColor indexed="47"/>
        </patternFill>
      </fill>
    </dxf>
    <dxf>
      <fill>
        <patternFill>
          <bgColor indexed="41"/>
        </patternFill>
      </fill>
    </dxf>
    <dxf>
      <fill>
        <patternFill>
          <bgColor indexed="47"/>
        </patternFill>
      </fill>
    </dxf>
    <dxf>
      <font>
        <b/>
        <i val="0"/>
        <condense val="0"/>
        <extend val="0"/>
        <color auto="1"/>
      </font>
      <fill>
        <patternFill>
          <bgColor rgb="FF66FF66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</dxfs>
  <tableStyles count="0" defaultTableStyle="TableStyleMedium2" defaultPivotStyle="PivotStyleLight16"/>
  <colors>
    <mruColors>
      <color rgb="FF0000FF"/>
      <color rgb="FF66FF66"/>
      <color rgb="FF66FF33"/>
      <color rgb="FFFFFF00"/>
      <color rgb="FFFFCC99"/>
      <color rgb="FFFF9900"/>
      <color rgb="FFFFFFCC"/>
      <color rgb="FF000000"/>
      <color rgb="FF008000"/>
      <color rgb="FF9900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73716012084592"/>
          <c:y val="0.10126597926037638"/>
          <c:w val="0.3821752265861027"/>
          <c:h val="0.80063414852735071"/>
        </c:manualLayout>
      </c:layout>
      <c:pieChart>
        <c:varyColors val="1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7030A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008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bubble3D val="0"/>
            <c:spPr>
              <a:solidFill>
                <a:srgbClr val="00B0F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multiLvlStrRef>
              <c:f>Profile!$X$11:$Y$16</c:f>
              <c:multiLvlStrCache>
                <c:ptCount val="6"/>
                <c:lvl>
                  <c:pt idx="0">
                    <c:v>47%</c:v>
                  </c:pt>
                  <c:pt idx="1">
                    <c:v>43%</c:v>
                  </c:pt>
                  <c:pt idx="2">
                    <c:v>10%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</c:lvl>
                <c:lvl>
                  <c:pt idx="0">
                    <c:v>Australian Shares</c:v>
                  </c:pt>
                  <c:pt idx="1">
                    <c:v>International Shares</c:v>
                  </c:pt>
                  <c:pt idx="2">
                    <c:v>Property &amp; Infrastructure</c:v>
                  </c:pt>
                  <c:pt idx="3">
                    <c:v>Alternative Income</c:v>
                  </c:pt>
                  <c:pt idx="4">
                    <c:v>Fixed Income</c:v>
                  </c:pt>
                  <c:pt idx="5">
                    <c:v>Cash</c:v>
                  </c:pt>
                </c:lvl>
              </c:multiLvlStrCache>
            </c:multiLvlStrRef>
          </c:cat>
          <c:val>
            <c:numRef>
              <c:f>Profile!$Y$11:$Y$16</c:f>
              <c:numCache>
                <c:formatCode>0%</c:formatCode>
                <c:ptCount val="6"/>
                <c:pt idx="0">
                  <c:v>0.47</c:v>
                </c:pt>
                <c:pt idx="1">
                  <c:v>0.43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4350453172205435"/>
          <c:y val="0.11075982590783746"/>
          <c:w val="0.34592145015105735"/>
          <c:h val="0.8101279112262864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vant Garde"/>
              <a:ea typeface="Avant Garde"/>
              <a:cs typeface="Avant Garde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vant Garde"/>
          <a:ea typeface="Avant Garde"/>
          <a:cs typeface="Avant Garde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vant Garde"/>
                <a:ea typeface="Avant Garde"/>
                <a:cs typeface="Avant Garde"/>
              </a:defRPr>
            </a:pPr>
            <a:r>
              <a:rPr lang="en-AU"/>
              <a:t>Agreed v Current Allocation (solid bar) </a:t>
            </a:r>
          </a:p>
        </c:rich>
      </c:tx>
      <c:layout>
        <c:manualLayout>
          <c:xMode val="edge"/>
          <c:yMode val="edge"/>
          <c:x val="0.2909608968370479"/>
          <c:y val="3.20987654320987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83173584223807E-2"/>
          <c:y val="0.13827193834861679"/>
          <c:w val="0.88704248958319443"/>
          <c:h val="0.67678969409220868"/>
        </c:manualLayout>
      </c:layout>
      <c:barChart>
        <c:barDir val="col"/>
        <c:grouping val="clustered"/>
        <c:varyColors val="0"/>
        <c:ser>
          <c:idx val="0"/>
          <c:order val="0"/>
          <c:tx>
            <c:v>Agreed</c:v>
          </c:tx>
          <c:spPr>
            <a:pattFill prst="wdDnDiag">
              <a:fgClr>
                <a:srgbClr xmlns:mc="http://schemas.openxmlformats.org/markup-compatibility/2006" xmlns:a14="http://schemas.microsoft.com/office/drawing/2010/main" val="3366FF" mc:Ignorable="a14" a14:legacySpreadsheetColorIndex="48"/>
              </a:fgClr>
              <a:bgClr>
                <a:srgbClr xmlns:mc="http://schemas.openxmlformats.org/markup-compatibility/2006" xmlns:a14="http://schemas.microsoft.com/office/drawing/2010/main" val="FFFFFF" mc:Ignorable="a14" a14:legacySpreadsheetColorIndex="9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pattFill prst="wdDnDiag">
                <a:fgClr>
                  <a:srgbClr val="990099"/>
                </a:fgClr>
                <a:bgClr>
                  <a:schemeClr val="bg1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pattFill prst="wdDnDiag">
                <a:fgClr>
                  <a:srgbClr val="FF9900"/>
                </a:fgClr>
                <a:bgClr>
                  <a:schemeClr val="bg1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pattFill prst="wdDnDiag">
                <a:fgClr>
                  <a:srgbClr val="008000"/>
                </a:fgClr>
                <a:bgClr>
                  <a:srgbClr xmlns:mc="http://schemas.openxmlformats.org/markup-compatibility/2006" xmlns:a14="http://schemas.microsoft.com/office/drawing/2010/main" val="FFFFFF" mc:Ignorable="a14" a14:legacySpreadsheetColorIndex="9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pattFill prst="wdDnDiag">
                <a:fgClr>
                  <a:srgbClr val="FF0000"/>
                </a:fgClr>
                <a:bgClr>
                  <a:srgbClr xmlns:mc="http://schemas.openxmlformats.org/markup-compatibility/2006" xmlns:a14="http://schemas.microsoft.com/office/drawing/2010/main" val="FFFFFF" mc:Ignorable="a14" a14:legacySpreadsheetColorIndex="9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pattFill prst="wdDnDiag">
                <a:fgClr>
                  <a:srgbClr val="FFFF00"/>
                </a:fgClr>
                <a:bgClr>
                  <a:srgbClr xmlns:mc="http://schemas.openxmlformats.org/markup-compatibility/2006" xmlns:a14="http://schemas.microsoft.com/office/drawing/2010/main" val="FFFFFF" mc:Ignorable="a14" a14:legacySpreadsheetColorIndex="9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pattFill prst="wdDnDiag">
                <a:fgClr>
                  <a:srgbClr val="00B0F0"/>
                </a:fgClr>
                <a:bgClr>
                  <a:srgbClr xmlns:mc="http://schemas.openxmlformats.org/markup-compatibility/2006" xmlns:a14="http://schemas.microsoft.com/office/drawing/2010/main" val="FFFFFF" mc:Ignorable="a14" a14:legacySpreadsheetColorIndex="9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invertIfNegative val="0"/>
            <c:bubble3D val="0"/>
          </c:dPt>
          <c:dPt>
            <c:idx val="7"/>
            <c:invertIfNegative val="0"/>
            <c:bubble3D val="0"/>
          </c:dPt>
          <c:cat>
            <c:strRef>
              <c:f>('Agreed Vs Current + New'!$A$26:$A$28,'Agreed Vs Current + New'!$A$31:$A$33)</c:f>
              <c:strCache>
                <c:ptCount val="6"/>
                <c:pt idx="0">
                  <c:v>Australian Equities</c:v>
                </c:pt>
                <c:pt idx="1">
                  <c:v>International Equities</c:v>
                </c:pt>
                <c:pt idx="2">
                  <c:v>Property</c:v>
                </c:pt>
                <c:pt idx="3">
                  <c:v>Alternative Income</c:v>
                </c:pt>
                <c:pt idx="4">
                  <c:v>Fixed Interest </c:v>
                </c:pt>
                <c:pt idx="5">
                  <c:v>Cash</c:v>
                </c:pt>
              </c:strCache>
            </c:strRef>
          </c:cat>
          <c:val>
            <c:numRef>
              <c:f>('Agreed Vs Current + New'!$C$26:$C$28,'Agreed Vs Current + New'!$C$31:$C$33)</c:f>
              <c:numCache>
                <c:formatCode>0%</c:formatCode>
                <c:ptCount val="6"/>
                <c:pt idx="0">
                  <c:v>0.64</c:v>
                </c:pt>
                <c:pt idx="1">
                  <c:v>0.25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  <c:pt idx="5">
                  <c:v>0.01</c:v>
                </c:pt>
              </c:numCache>
            </c:numRef>
          </c:val>
        </c:ser>
        <c:ser>
          <c:idx val="1"/>
          <c:order val="1"/>
          <c:tx>
            <c:v>Current</c:v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008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invertIfNegative val="0"/>
            <c:bubble3D val="0"/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('Agreed Vs Current + New'!$A$26:$A$28,'Agreed Vs Current + New'!$A$31:$A$33)</c:f>
              <c:strCache>
                <c:ptCount val="6"/>
                <c:pt idx="0">
                  <c:v>Australian Equities</c:v>
                </c:pt>
                <c:pt idx="1">
                  <c:v>International Equities</c:v>
                </c:pt>
                <c:pt idx="2">
                  <c:v>Property</c:v>
                </c:pt>
                <c:pt idx="3">
                  <c:v>Alternative Income</c:v>
                </c:pt>
                <c:pt idx="4">
                  <c:v>Fixed Interest </c:v>
                </c:pt>
                <c:pt idx="5">
                  <c:v>Cash</c:v>
                </c:pt>
              </c:strCache>
            </c:strRef>
          </c:cat>
          <c:val>
            <c:numRef>
              <c:f>('Agreed Vs Current + New'!$E$26:$E$28,'Agreed Vs Current + New'!$E$31:$E$33)</c:f>
              <c:numCache>
                <c:formatCode>0%</c:formatCode>
                <c:ptCount val="6"/>
                <c:pt idx="0">
                  <c:v>0.57106978386741092</c:v>
                </c:pt>
                <c:pt idx="1">
                  <c:v>0.22772393988250489</c:v>
                </c:pt>
                <c:pt idx="2">
                  <c:v>5.62400431637066E-2</c:v>
                </c:pt>
                <c:pt idx="3">
                  <c:v>0</c:v>
                </c:pt>
                <c:pt idx="4">
                  <c:v>0</c:v>
                </c:pt>
                <c:pt idx="5">
                  <c:v>0.14496623308637763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0"/>
        <c:axId val="68498944"/>
        <c:axId val="68500480"/>
      </c:barChart>
      <c:catAx>
        <c:axId val="68498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vant Garde"/>
                <a:ea typeface="Avant Garde"/>
                <a:cs typeface="Avant Garde"/>
              </a:defRPr>
            </a:pPr>
            <a:endParaRPr lang="en-US"/>
          </a:p>
        </c:txPr>
        <c:crossAx val="68500480"/>
        <c:crosses val="autoZero"/>
        <c:auto val="1"/>
        <c:lblAlgn val="ctr"/>
        <c:lblOffset val="100"/>
        <c:tickMarkSkip val="1"/>
        <c:noMultiLvlLbl val="0"/>
      </c:catAx>
      <c:valAx>
        <c:axId val="68500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vant Garde"/>
                <a:ea typeface="Avant Garde"/>
                <a:cs typeface="Avant Garde"/>
              </a:defRPr>
            </a:pPr>
            <a:endParaRPr lang="en-US"/>
          </a:p>
        </c:txPr>
        <c:crossAx val="68498944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925" b="0" i="0" u="none" strike="noStrike" baseline="0">
                <a:solidFill>
                  <a:srgbClr val="000000"/>
                </a:solidFill>
                <a:latin typeface="Avant Garde"/>
                <a:ea typeface="Avant Garde"/>
                <a:cs typeface="Avant Garde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vant Garde"/>
          <a:ea typeface="Avant Garde"/>
          <a:cs typeface="Avant Garde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vant Garde"/>
                <a:ea typeface="Avant Garde"/>
                <a:cs typeface="Avant Garde"/>
              </a:defRPr>
            </a:pPr>
            <a:r>
              <a:rPr lang="en-AU"/>
              <a:t>Agreed v Current Allocation (solid bar) </a:t>
            </a:r>
          </a:p>
        </c:rich>
      </c:tx>
      <c:layout>
        <c:manualLayout>
          <c:xMode val="edge"/>
          <c:yMode val="edge"/>
          <c:x val="0.2909608968370479"/>
          <c:y val="3.20987654320987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83173584223807E-2"/>
          <c:y val="0.13827193834861679"/>
          <c:w val="0.88704248958319443"/>
          <c:h val="0.67678969409220868"/>
        </c:manualLayout>
      </c:layout>
      <c:barChart>
        <c:barDir val="col"/>
        <c:grouping val="clustered"/>
        <c:varyColors val="0"/>
        <c:ser>
          <c:idx val="0"/>
          <c:order val="0"/>
          <c:tx>
            <c:v>Agreed</c:v>
          </c:tx>
          <c:spPr>
            <a:pattFill prst="wdDnDiag">
              <a:fgClr>
                <a:srgbClr xmlns:mc="http://schemas.openxmlformats.org/markup-compatibility/2006" xmlns:a14="http://schemas.microsoft.com/office/drawing/2010/main" val="3366FF" mc:Ignorable="a14" a14:legacySpreadsheetColorIndex="48"/>
              </a:fgClr>
              <a:bgClr>
                <a:srgbClr xmlns:mc="http://schemas.openxmlformats.org/markup-compatibility/2006" xmlns:a14="http://schemas.microsoft.com/office/drawing/2010/main" val="FFFFFF" mc:Ignorable="a14" a14:legacySpreadsheetColorIndex="9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pattFill prst="wdDnDiag">
                <a:fgClr>
                  <a:srgbClr val="990099"/>
                </a:fgClr>
                <a:bgClr>
                  <a:schemeClr val="bg1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pattFill prst="wdDnDiag">
                <a:fgClr>
                  <a:srgbClr val="FF9900"/>
                </a:fgClr>
                <a:bgClr>
                  <a:schemeClr val="bg1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pattFill prst="wdDnDiag">
                <a:fgClr>
                  <a:srgbClr val="008000"/>
                </a:fgClr>
                <a:bgClr>
                  <a:srgbClr xmlns:mc="http://schemas.openxmlformats.org/markup-compatibility/2006" xmlns:a14="http://schemas.microsoft.com/office/drawing/2010/main" val="FFFFFF" mc:Ignorable="a14" a14:legacySpreadsheetColorIndex="9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pattFill prst="wdDnDiag">
                <a:fgClr>
                  <a:srgbClr val="FF0000"/>
                </a:fgClr>
                <a:bgClr>
                  <a:srgbClr xmlns:mc="http://schemas.openxmlformats.org/markup-compatibility/2006" xmlns:a14="http://schemas.microsoft.com/office/drawing/2010/main" val="FFFFFF" mc:Ignorable="a14" a14:legacySpreadsheetColorIndex="9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pattFill prst="wdDnDiag">
                <a:fgClr>
                  <a:srgbClr val="FFFF00"/>
                </a:fgClr>
                <a:bgClr>
                  <a:srgbClr xmlns:mc="http://schemas.openxmlformats.org/markup-compatibility/2006" xmlns:a14="http://schemas.microsoft.com/office/drawing/2010/main" val="FFFFFF" mc:Ignorable="a14" a14:legacySpreadsheetColorIndex="9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pattFill prst="wdDnDiag">
                <a:fgClr>
                  <a:srgbClr val="00B0F0"/>
                </a:fgClr>
                <a:bgClr>
                  <a:srgbClr xmlns:mc="http://schemas.openxmlformats.org/markup-compatibility/2006" xmlns:a14="http://schemas.microsoft.com/office/drawing/2010/main" val="FFFFFF" mc:Ignorable="a14" a14:legacySpreadsheetColorIndex="9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invertIfNegative val="0"/>
            <c:bubble3D val="0"/>
          </c:dPt>
          <c:dPt>
            <c:idx val="7"/>
            <c:invertIfNegative val="0"/>
            <c:bubble3D val="0"/>
          </c:dPt>
          <c:cat>
            <c:strRef>
              <c:f>('Agreed Vs Current (AIPR)'!$A$27:$A$29,'Agreed Vs Current (AIPR)'!$A$32:$A$34)</c:f>
              <c:strCache>
                <c:ptCount val="6"/>
                <c:pt idx="0">
                  <c:v>Australian Equities</c:v>
                </c:pt>
                <c:pt idx="1">
                  <c:v>International Equities</c:v>
                </c:pt>
                <c:pt idx="2">
                  <c:v>Property</c:v>
                </c:pt>
                <c:pt idx="3">
                  <c:v>Alternative Income</c:v>
                </c:pt>
                <c:pt idx="4">
                  <c:v>Fixed Interest </c:v>
                </c:pt>
                <c:pt idx="5">
                  <c:v>Cash</c:v>
                </c:pt>
              </c:strCache>
            </c:strRef>
          </c:cat>
          <c:val>
            <c:numRef>
              <c:f>('Agreed Vs Current (AIPR)'!$C$27:$C$29,'Agreed Vs Current (AIPR)'!$C$32:$C$34)</c:f>
              <c:numCache>
                <c:formatCode>0%</c:formatCode>
                <c:ptCount val="6"/>
                <c:pt idx="0">
                  <c:v>0.64</c:v>
                </c:pt>
                <c:pt idx="1">
                  <c:v>0.25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  <c:pt idx="5">
                  <c:v>0.01</c:v>
                </c:pt>
              </c:numCache>
            </c:numRef>
          </c:val>
        </c:ser>
        <c:ser>
          <c:idx val="1"/>
          <c:order val="1"/>
          <c:tx>
            <c:v>Current</c:v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008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invertIfNegative val="0"/>
            <c:bubble3D val="0"/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('Agreed Vs Current (AIPR)'!$A$27:$A$29,'Agreed Vs Current (AIPR)'!$A$32:$A$34)</c:f>
              <c:strCache>
                <c:ptCount val="6"/>
                <c:pt idx="0">
                  <c:v>Australian Equities</c:v>
                </c:pt>
                <c:pt idx="1">
                  <c:v>International Equities</c:v>
                </c:pt>
                <c:pt idx="2">
                  <c:v>Property</c:v>
                </c:pt>
                <c:pt idx="3">
                  <c:v>Alternative Income</c:v>
                </c:pt>
                <c:pt idx="4">
                  <c:v>Fixed Interest </c:v>
                </c:pt>
                <c:pt idx="5">
                  <c:v>Cash</c:v>
                </c:pt>
              </c:strCache>
            </c:strRef>
          </c:cat>
          <c:val>
            <c:numRef>
              <c:f>('Agreed Vs Current (AIPR)'!$E$27:$E$29,'Agreed Vs Current (AIPR)'!$E$32:$E$34)</c:f>
              <c:numCache>
                <c:formatCode>0%</c:formatCode>
                <c:ptCount val="6"/>
                <c:pt idx="0">
                  <c:v>0.57106978386741092</c:v>
                </c:pt>
                <c:pt idx="1">
                  <c:v>0.22772393988250489</c:v>
                </c:pt>
                <c:pt idx="2">
                  <c:v>5.62400431637066E-2</c:v>
                </c:pt>
                <c:pt idx="3">
                  <c:v>0</c:v>
                </c:pt>
                <c:pt idx="4">
                  <c:v>0</c:v>
                </c:pt>
                <c:pt idx="5">
                  <c:v>0.14496623308637763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0"/>
        <c:axId val="111043328"/>
        <c:axId val="111044864"/>
      </c:barChart>
      <c:catAx>
        <c:axId val="11104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vant Garde"/>
                <a:ea typeface="Avant Garde"/>
                <a:cs typeface="Avant Garde"/>
              </a:defRPr>
            </a:pPr>
            <a:endParaRPr lang="en-US"/>
          </a:p>
        </c:txPr>
        <c:crossAx val="111044864"/>
        <c:crosses val="autoZero"/>
        <c:auto val="1"/>
        <c:lblAlgn val="ctr"/>
        <c:lblOffset val="100"/>
        <c:tickMarkSkip val="1"/>
        <c:noMultiLvlLbl val="0"/>
      </c:catAx>
      <c:valAx>
        <c:axId val="1110448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vant Garde"/>
                <a:ea typeface="Avant Garde"/>
                <a:cs typeface="Avant Garde"/>
              </a:defRPr>
            </a:pPr>
            <a:endParaRPr lang="en-US"/>
          </a:p>
        </c:txPr>
        <c:crossAx val="11104332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925" b="0" i="0" u="none" strike="noStrike" baseline="0">
                <a:solidFill>
                  <a:srgbClr val="000000"/>
                </a:solidFill>
                <a:latin typeface="Avant Garde"/>
                <a:ea typeface="Avant Garde"/>
                <a:cs typeface="Avant Garde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vant Garde"/>
          <a:ea typeface="Avant Garde"/>
          <a:cs typeface="Avant Garde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18</xdr:row>
      <xdr:rowOff>9525</xdr:rowOff>
    </xdr:from>
    <xdr:to>
      <xdr:col>11</xdr:col>
      <xdr:colOff>809625</xdr:colOff>
      <xdr:row>36</xdr:row>
      <xdr:rowOff>104775</xdr:rowOff>
    </xdr:to>
    <xdr:graphicFrame macro="">
      <xdr:nvGraphicFramePr>
        <xdr:cNvPr id="1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171450</xdr:colOff>
          <xdr:row>3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Top of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19050</xdr:rowOff>
        </xdr:from>
        <xdr:to>
          <xdr:col>8</xdr:col>
          <xdr:colOff>352425</xdr:colOff>
          <xdr:row>3</xdr:row>
          <xdr:rowOff>85725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Bottom Of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123825</xdr:rowOff>
        </xdr:from>
        <xdr:to>
          <xdr:col>0</xdr:col>
          <xdr:colOff>1447800</xdr:colOff>
          <xdr:row>0</xdr:row>
          <xdr:rowOff>447675</xdr:rowOff>
        </xdr:to>
        <xdr:sp macro="" textlink="">
          <xdr:nvSpPr>
            <xdr:cNvPr id="24816" name="Button 240" hidden="1">
              <a:extLst>
                <a:ext uri="{63B3BB69-23CF-44E3-9099-C40C66FF867C}">
                  <a14:compatExt spid="_x0000_s2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AA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1590675</xdr:colOff>
          <xdr:row>0</xdr:row>
          <xdr:rowOff>114300</xdr:rowOff>
        </xdr:from>
        <xdr:to>
          <xdr:col>2</xdr:col>
          <xdr:colOff>133350</xdr:colOff>
          <xdr:row>0</xdr:row>
          <xdr:rowOff>457200</xdr:rowOff>
        </xdr:to>
        <xdr:sp macro="" textlink="">
          <xdr:nvSpPr>
            <xdr:cNvPr id="24820" name="Button 244" hidden="1">
              <a:extLst>
                <a:ext uri="{63B3BB69-23CF-44E3-9099-C40C66FF867C}">
                  <a14:compatExt spid="_x0000_s24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Current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0</xdr:row>
          <xdr:rowOff>66675</xdr:rowOff>
        </xdr:from>
        <xdr:to>
          <xdr:col>4</xdr:col>
          <xdr:colOff>247650</xdr:colOff>
          <xdr:row>0</xdr:row>
          <xdr:rowOff>495300</xdr:rowOff>
        </xdr:to>
        <xdr:sp macro="" textlink="">
          <xdr:nvSpPr>
            <xdr:cNvPr id="24857" name="Button 281" hidden="1">
              <a:extLst>
                <a:ext uri="{63B3BB69-23CF-44E3-9099-C40C66FF867C}">
                  <a14:compatExt spid="_x0000_s2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Chart</a:t>
              </a:r>
            </a:p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&amp;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123826</xdr:rowOff>
    </xdr:from>
    <xdr:to>
      <xdr:col>10</xdr:col>
      <xdr:colOff>1038224</xdr:colOff>
      <xdr:row>22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4</xdr:row>
          <xdr:rowOff>38100</xdr:rowOff>
        </xdr:from>
        <xdr:to>
          <xdr:col>13</xdr:col>
          <xdr:colOff>304800</xdr:colOff>
          <xdr:row>7</xdr:row>
          <xdr:rowOff>114300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Chart, Data</a:t>
              </a:r>
            </a:p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&amp; Fee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12</xdr:row>
          <xdr:rowOff>38100</xdr:rowOff>
        </xdr:from>
        <xdr:to>
          <xdr:col>13</xdr:col>
          <xdr:colOff>304800</xdr:colOff>
          <xdr:row>15</xdr:row>
          <xdr:rowOff>114300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Chart &amp; Data</a:t>
              </a:r>
            </a:p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0</xdr:row>
      <xdr:rowOff>123826</xdr:rowOff>
    </xdr:from>
    <xdr:to>
      <xdr:col>7</xdr:col>
      <xdr:colOff>923925</xdr:colOff>
      <xdr:row>23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4</xdr:row>
          <xdr:rowOff>38100</xdr:rowOff>
        </xdr:from>
        <xdr:to>
          <xdr:col>13</xdr:col>
          <xdr:colOff>304800</xdr:colOff>
          <xdr:row>7</xdr:row>
          <xdr:rowOff>114300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Chart</a:t>
              </a:r>
            </a:p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&amp; Data (AIPR)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11</xdr:row>
          <xdr:rowOff>95250</xdr:rowOff>
        </xdr:from>
        <xdr:to>
          <xdr:col>13</xdr:col>
          <xdr:colOff>304800</xdr:colOff>
          <xdr:row>15</xdr:row>
          <xdr:rowOff>9525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Chart</a:t>
              </a:r>
            </a:p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&amp; Data (AIPR)</a:t>
              </a:r>
            </a:p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+ warnings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O19" sqref="O19"/>
    </sheetView>
  </sheetViews>
  <sheetFormatPr defaultRowHeight="12.75" x14ac:dyDescent="0.2"/>
  <cols>
    <col min="6" max="11" width="12.140625" customWidth="1"/>
  </cols>
  <sheetData>
    <row r="1" spans="1:11" x14ac:dyDescent="0.2">
      <c r="A1" s="18"/>
      <c r="B1" s="18"/>
      <c r="C1" s="18"/>
      <c r="D1" s="18"/>
      <c r="E1" s="18"/>
    </row>
    <row r="2" spans="1:11" x14ac:dyDescent="0.2">
      <c r="A2" s="18"/>
      <c r="B2" s="100" t="s">
        <v>0</v>
      </c>
      <c r="C2" s="18"/>
      <c r="D2" s="18"/>
      <c r="E2" s="18"/>
    </row>
    <row r="3" spans="1:11" x14ac:dyDescent="0.2">
      <c r="A3" s="18"/>
      <c r="B3" s="100" t="s">
        <v>127</v>
      </c>
      <c r="C3" s="18"/>
      <c r="D3" s="18"/>
      <c r="E3" s="18"/>
    </row>
    <row r="4" spans="1:11" x14ac:dyDescent="0.2">
      <c r="A4" s="18"/>
      <c r="B4" s="100" t="s">
        <v>128</v>
      </c>
      <c r="C4" s="18"/>
      <c r="D4" s="18"/>
      <c r="E4" s="18"/>
      <c r="F4" s="99" t="s">
        <v>22</v>
      </c>
      <c r="G4" s="99" t="s">
        <v>23</v>
      </c>
      <c r="H4" s="99" t="s">
        <v>24</v>
      </c>
      <c r="I4" s="99" t="s">
        <v>21</v>
      </c>
      <c r="J4" s="99" t="s">
        <v>25</v>
      </c>
      <c r="K4" s="99" t="s">
        <v>26</v>
      </c>
    </row>
    <row r="5" spans="1:11" x14ac:dyDescent="0.2">
      <c r="E5" s="56" t="s">
        <v>1</v>
      </c>
      <c r="F5" s="107">
        <v>1</v>
      </c>
      <c r="G5" s="107">
        <v>0.25</v>
      </c>
      <c r="H5" s="107">
        <v>0.1</v>
      </c>
      <c r="I5" s="107">
        <v>0.05</v>
      </c>
      <c r="J5" s="107">
        <v>0.03</v>
      </c>
      <c r="K5" s="107">
        <v>0</v>
      </c>
    </row>
    <row r="6" spans="1:11" x14ac:dyDescent="0.2">
      <c r="E6" s="56" t="s">
        <v>111</v>
      </c>
      <c r="F6" s="107">
        <v>0</v>
      </c>
      <c r="G6" s="107">
        <v>0.42</v>
      </c>
      <c r="H6" s="107">
        <v>0.4</v>
      </c>
      <c r="I6" s="107">
        <v>0.3</v>
      </c>
      <c r="J6" s="107">
        <v>0.17</v>
      </c>
      <c r="K6" s="107">
        <v>0</v>
      </c>
    </row>
    <row r="7" spans="1:11" x14ac:dyDescent="0.2">
      <c r="E7" s="55" t="s">
        <v>112</v>
      </c>
      <c r="F7" s="6">
        <v>0</v>
      </c>
      <c r="G7" s="6">
        <v>0.2</v>
      </c>
      <c r="H7" s="6">
        <v>0.19</v>
      </c>
      <c r="I7" s="6">
        <v>0.14000000000000001</v>
      </c>
      <c r="J7" s="6">
        <v>0.08</v>
      </c>
      <c r="K7" s="6">
        <v>0</v>
      </c>
    </row>
    <row r="8" spans="1:11" x14ac:dyDescent="0.2">
      <c r="E8" s="55" t="s">
        <v>113</v>
      </c>
      <c r="F8" s="6">
        <v>0</v>
      </c>
      <c r="G8" s="6">
        <v>0.22</v>
      </c>
      <c r="H8" s="6">
        <v>0.21</v>
      </c>
      <c r="I8" s="6">
        <v>0.16</v>
      </c>
      <c r="J8" s="6">
        <v>0.09</v>
      </c>
      <c r="K8" s="6">
        <v>0</v>
      </c>
    </row>
    <row r="9" spans="1:11" x14ac:dyDescent="0.2">
      <c r="E9" s="56" t="s">
        <v>3</v>
      </c>
      <c r="F9" s="107">
        <v>0</v>
      </c>
      <c r="G9" s="107">
        <v>0.06</v>
      </c>
      <c r="H9" s="107">
        <v>0.13</v>
      </c>
      <c r="I9" s="107">
        <v>0.23</v>
      </c>
      <c r="J9" s="107">
        <v>0.33</v>
      </c>
      <c r="K9" s="107">
        <v>0.43</v>
      </c>
    </row>
    <row r="10" spans="1:11" x14ac:dyDescent="0.2">
      <c r="E10" s="55" t="s">
        <v>3</v>
      </c>
      <c r="F10" s="6">
        <v>0</v>
      </c>
      <c r="G10" s="6">
        <v>0.06</v>
      </c>
      <c r="H10" s="6">
        <v>0.13</v>
      </c>
      <c r="I10" s="6">
        <v>0.2</v>
      </c>
      <c r="J10" s="6">
        <v>0.27</v>
      </c>
      <c r="K10" s="6">
        <v>0.35</v>
      </c>
    </row>
    <row r="11" spans="1:11" x14ac:dyDescent="0.2">
      <c r="E11" s="55" t="s">
        <v>115</v>
      </c>
      <c r="F11" s="6">
        <v>0</v>
      </c>
      <c r="G11" s="6">
        <v>0</v>
      </c>
      <c r="H11" s="6">
        <v>0</v>
      </c>
      <c r="I11" s="6">
        <v>0.03</v>
      </c>
      <c r="J11" s="6">
        <v>0.06</v>
      </c>
      <c r="K11" s="6">
        <v>0.08</v>
      </c>
    </row>
    <row r="12" spans="1:11" x14ac:dyDescent="0.2">
      <c r="E12" s="56" t="s">
        <v>126</v>
      </c>
      <c r="F12" s="107">
        <v>0</v>
      </c>
      <c r="G12" s="107">
        <v>0.13</v>
      </c>
      <c r="H12" s="107">
        <v>0.1</v>
      </c>
      <c r="I12" s="107">
        <v>0.05</v>
      </c>
      <c r="J12" s="107">
        <v>0</v>
      </c>
      <c r="K12" s="107">
        <v>0</v>
      </c>
    </row>
    <row r="13" spans="1:11" x14ac:dyDescent="0.2">
      <c r="E13" s="56" t="s">
        <v>4</v>
      </c>
      <c r="F13" s="107">
        <v>0</v>
      </c>
      <c r="G13" s="107">
        <v>0.06</v>
      </c>
      <c r="H13" s="107">
        <v>0.1</v>
      </c>
      <c r="I13" s="107">
        <v>0.1</v>
      </c>
      <c r="J13" s="107">
        <v>0.1</v>
      </c>
      <c r="K13" s="107">
        <v>0.1</v>
      </c>
    </row>
    <row r="14" spans="1:11" x14ac:dyDescent="0.2">
      <c r="E14" s="55" t="s">
        <v>117</v>
      </c>
      <c r="F14" s="6">
        <v>0</v>
      </c>
      <c r="G14" s="6">
        <v>0.03</v>
      </c>
      <c r="H14" s="6">
        <v>0.04</v>
      </c>
      <c r="I14" s="6">
        <v>0.02</v>
      </c>
      <c r="J14" s="6">
        <v>0.02</v>
      </c>
      <c r="K14" s="6">
        <v>0.02</v>
      </c>
    </row>
    <row r="15" spans="1:11" x14ac:dyDescent="0.2">
      <c r="E15" s="55" t="s">
        <v>118</v>
      </c>
      <c r="F15" s="6">
        <v>0</v>
      </c>
      <c r="G15" s="6">
        <v>0</v>
      </c>
      <c r="H15" s="6">
        <v>0.03</v>
      </c>
      <c r="I15" s="6">
        <v>0.02</v>
      </c>
      <c r="J15" s="6">
        <v>0.02</v>
      </c>
      <c r="K15" s="6">
        <v>0.02</v>
      </c>
    </row>
    <row r="16" spans="1:11" x14ac:dyDescent="0.2">
      <c r="E16" s="55" t="s">
        <v>119</v>
      </c>
      <c r="F16" s="6">
        <v>0</v>
      </c>
      <c r="G16" s="6">
        <v>0.03</v>
      </c>
      <c r="H16" s="6">
        <v>0.03</v>
      </c>
      <c r="I16" s="6">
        <v>0.03</v>
      </c>
      <c r="J16" s="6">
        <v>0.03</v>
      </c>
      <c r="K16" s="6">
        <v>0.03</v>
      </c>
    </row>
    <row r="17" spans="5:11" x14ac:dyDescent="0.2">
      <c r="E17" s="55" t="s">
        <v>125</v>
      </c>
      <c r="F17" s="6">
        <v>0</v>
      </c>
      <c r="G17" s="6">
        <v>0</v>
      </c>
      <c r="H17" s="6">
        <v>0</v>
      </c>
      <c r="I17" s="6">
        <v>0.03</v>
      </c>
      <c r="J17" s="6">
        <v>0.03</v>
      </c>
      <c r="K17" s="6">
        <v>0.03</v>
      </c>
    </row>
    <row r="18" spans="5:11" x14ac:dyDescent="0.2">
      <c r="E18" s="56" t="s">
        <v>2</v>
      </c>
      <c r="F18" s="107">
        <v>0</v>
      </c>
      <c r="G18" s="107">
        <v>0.08</v>
      </c>
      <c r="H18" s="107">
        <v>0.17</v>
      </c>
      <c r="I18" s="107">
        <v>0.27</v>
      </c>
      <c r="J18" s="107">
        <v>0.37</v>
      </c>
      <c r="K18" s="107">
        <v>0.47</v>
      </c>
    </row>
    <row r="19" spans="5:11" x14ac:dyDescent="0.2">
      <c r="F19" s="7"/>
      <c r="G19" s="7"/>
      <c r="H19" s="7"/>
      <c r="I19" s="7"/>
      <c r="J19" s="7"/>
      <c r="K19" s="7"/>
    </row>
    <row r="20" spans="5:11" x14ac:dyDescent="0.2">
      <c r="E20" s="1" t="s">
        <v>5</v>
      </c>
      <c r="F20" s="8">
        <v>2.9000000000000001E-2</v>
      </c>
      <c r="G20" s="8">
        <v>6.9000000000000006E-2</v>
      </c>
      <c r="H20" s="8">
        <v>0.114</v>
      </c>
      <c r="I20" s="8">
        <v>0.16900000000000001</v>
      </c>
      <c r="J20" s="8">
        <v>0.221</v>
      </c>
      <c r="K20" s="8">
        <v>0.28100000000000003</v>
      </c>
    </row>
    <row r="21" spans="5:11" x14ac:dyDescent="0.2">
      <c r="E21" s="1" t="s">
        <v>6</v>
      </c>
      <c r="F21" s="8">
        <v>3.9E-2</v>
      </c>
      <c r="G21" s="8">
        <v>7.2999999999999995E-2</v>
      </c>
      <c r="H21" s="8">
        <v>8.8999999999999996E-2</v>
      </c>
      <c r="I21" s="8">
        <v>9.9000000000000005E-2</v>
      </c>
      <c r="J21" s="8">
        <v>0.106</v>
      </c>
      <c r="K21" s="8">
        <v>0.115</v>
      </c>
    </row>
    <row r="22" spans="5:11" x14ac:dyDescent="0.2">
      <c r="E22" s="1" t="s">
        <v>7</v>
      </c>
      <c r="F22" s="8">
        <v>0.04</v>
      </c>
      <c r="G22" s="8">
        <v>7.2999999999999995E-2</v>
      </c>
      <c r="H22" s="8">
        <v>8.6999999999999994E-2</v>
      </c>
      <c r="I22" s="8">
        <v>9.6000000000000002E-2</v>
      </c>
      <c r="J22" s="8">
        <v>0.105</v>
      </c>
      <c r="K22" s="8">
        <v>0.112</v>
      </c>
    </row>
    <row r="23" spans="5:11" x14ac:dyDescent="0.2">
      <c r="E23" s="1" t="s">
        <v>8</v>
      </c>
      <c r="F23" s="8">
        <v>4.9000000000000002E-2</v>
      </c>
      <c r="G23" s="8">
        <v>5.7000000000000002E-2</v>
      </c>
      <c r="H23" s="8">
        <v>5.1999999999999998E-2</v>
      </c>
      <c r="I23" s="8">
        <v>4.8000000000000001E-2</v>
      </c>
      <c r="J23" s="8">
        <v>0.04</v>
      </c>
      <c r="K23" s="8">
        <v>0.03</v>
      </c>
    </row>
    <row r="24" spans="5:11" x14ac:dyDescent="0.2">
      <c r="E24" s="1" t="s">
        <v>9</v>
      </c>
      <c r="F24" s="8">
        <v>5.1999999999999998E-2</v>
      </c>
      <c r="G24" s="8">
        <v>6.7000000000000004E-2</v>
      </c>
      <c r="H24" s="8">
        <v>7.1999999999999995E-2</v>
      </c>
      <c r="I24" s="8">
        <v>7.6999999999999999E-2</v>
      </c>
      <c r="J24" s="8">
        <v>0.08</v>
      </c>
      <c r="K24" s="8">
        <v>8.1000000000000003E-2</v>
      </c>
    </row>
    <row r="25" spans="5:11" x14ac:dyDescent="0.2">
      <c r="E25" s="1" t="s">
        <v>18</v>
      </c>
      <c r="F25" s="8">
        <v>2.9000000000000001E-2</v>
      </c>
      <c r="G25" s="8">
        <v>-2.4E-2</v>
      </c>
      <c r="H25" s="8">
        <v>-0.115</v>
      </c>
      <c r="I25" s="8">
        <v>-0.188</v>
      </c>
      <c r="J25" s="8">
        <v>-0.26300000000000001</v>
      </c>
      <c r="K25" s="8">
        <v>-0.33700000000000002</v>
      </c>
    </row>
    <row r="26" spans="5:11" x14ac:dyDescent="0.2">
      <c r="E26" s="1" t="s">
        <v>19</v>
      </c>
      <c r="F26" s="8">
        <v>7.8E-2</v>
      </c>
      <c r="G26" s="8">
        <v>0.112</v>
      </c>
      <c r="H26" s="8">
        <v>0.17100000000000001</v>
      </c>
      <c r="I26" s="8">
        <v>0.21199999999999999</v>
      </c>
      <c r="J26" s="8">
        <v>0.28000000000000003</v>
      </c>
      <c r="K26" s="8">
        <v>0.35099999999999998</v>
      </c>
    </row>
    <row r="27" spans="5:11" x14ac:dyDescent="0.2">
      <c r="E27" s="1" t="s">
        <v>20</v>
      </c>
      <c r="F27" s="8">
        <v>5.2999999999999999E-2</v>
      </c>
      <c r="G27" s="8">
        <v>6.8000000000000005E-2</v>
      </c>
      <c r="H27" s="8">
        <v>7.3999999999999996E-2</v>
      </c>
      <c r="I27" s="8">
        <v>8.1000000000000003E-2</v>
      </c>
      <c r="J27" s="8">
        <v>8.5999999999999993E-2</v>
      </c>
      <c r="K27" s="8">
        <v>9.1999999999999998E-2</v>
      </c>
    </row>
    <row r="28" spans="5:11" x14ac:dyDescent="0.2">
      <c r="F28" s="7"/>
      <c r="G28" s="7"/>
      <c r="H28" s="7"/>
      <c r="I28" s="7"/>
      <c r="J28" s="7"/>
      <c r="K28" s="7"/>
    </row>
    <row r="29" spans="5:11" x14ac:dyDescent="0.2">
      <c r="E29" s="1" t="s">
        <v>108</v>
      </c>
      <c r="F29" s="109" t="s">
        <v>40</v>
      </c>
      <c r="G29" s="109" t="s">
        <v>168</v>
      </c>
      <c r="H29" s="109" t="s">
        <v>170</v>
      </c>
      <c r="I29" s="109" t="s">
        <v>172</v>
      </c>
      <c r="J29" s="109" t="s">
        <v>158</v>
      </c>
      <c r="K29" s="109" t="s">
        <v>177</v>
      </c>
    </row>
    <row r="30" spans="5:11" x14ac:dyDescent="0.2">
      <c r="E30" s="1" t="s">
        <v>109</v>
      </c>
      <c r="F30" s="109" t="s">
        <v>154</v>
      </c>
      <c r="G30" s="109" t="s">
        <v>169</v>
      </c>
      <c r="H30" s="109" t="s">
        <v>171</v>
      </c>
      <c r="I30" s="109" t="s">
        <v>173</v>
      </c>
      <c r="J30" s="109" t="s">
        <v>175</v>
      </c>
      <c r="K30" s="109" t="s">
        <v>178</v>
      </c>
    </row>
    <row r="31" spans="5:11" x14ac:dyDescent="0.2">
      <c r="E31" s="1" t="s">
        <v>110</v>
      </c>
      <c r="F31" s="109" t="s">
        <v>124</v>
      </c>
      <c r="G31" s="109" t="s">
        <v>156</v>
      </c>
      <c r="H31" s="109" t="s">
        <v>157</v>
      </c>
      <c r="I31" s="109" t="s">
        <v>174</v>
      </c>
      <c r="J31" s="109" t="s">
        <v>176</v>
      </c>
      <c r="K31" s="109" t="s">
        <v>179</v>
      </c>
    </row>
    <row r="32" spans="5:11" x14ac:dyDescent="0.2">
      <c r="E32" s="1" t="s">
        <v>13</v>
      </c>
      <c r="F32" s="8">
        <v>0</v>
      </c>
      <c r="G32" s="8">
        <v>6.7000000000000004E-2</v>
      </c>
      <c r="H32" s="8">
        <v>0.158</v>
      </c>
      <c r="I32" s="8">
        <v>0.17499999999999999</v>
      </c>
      <c r="J32" s="8">
        <v>0.23300000000000001</v>
      </c>
      <c r="K32" s="8">
        <v>0.26700000000000002</v>
      </c>
    </row>
    <row r="33" spans="5:11" x14ac:dyDescent="0.2">
      <c r="E33" s="1" t="s">
        <v>14</v>
      </c>
      <c r="F33" s="9">
        <v>0</v>
      </c>
      <c r="G33" s="9">
        <v>15</v>
      </c>
      <c r="H33" s="9">
        <v>6</v>
      </c>
      <c r="I33" s="9">
        <v>5</v>
      </c>
      <c r="J33" s="9">
        <v>4</v>
      </c>
      <c r="K33" s="9">
        <v>4</v>
      </c>
    </row>
    <row r="34" spans="5:11" x14ac:dyDescent="0.2">
      <c r="E34" s="1" t="s">
        <v>15</v>
      </c>
      <c r="F34" s="8">
        <v>3.9E-2</v>
      </c>
      <c r="G34" s="8">
        <v>0.03</v>
      </c>
      <c r="H34" s="8">
        <v>-8.0000000000000002E-3</v>
      </c>
      <c r="I34" s="8">
        <v>-3.1E-2</v>
      </c>
      <c r="J34" s="8">
        <v>-6.0999999999999999E-2</v>
      </c>
      <c r="K34" s="8">
        <v>-9.2999999999999999E-2</v>
      </c>
    </row>
    <row r="35" spans="5:11" x14ac:dyDescent="0.2">
      <c r="E35" s="1" t="s">
        <v>16</v>
      </c>
      <c r="F35" s="8">
        <v>6.8000000000000005E-2</v>
      </c>
      <c r="G35" s="8">
        <v>9.0999999999999998E-2</v>
      </c>
      <c r="H35" s="8">
        <v>0.123</v>
      </c>
      <c r="I35" s="8">
        <v>0.16200000000000001</v>
      </c>
      <c r="J35" s="8">
        <v>0.19900000000000001</v>
      </c>
      <c r="K35" s="8">
        <v>0.23699999999999999</v>
      </c>
    </row>
    <row r="36" spans="5:11" x14ac:dyDescent="0.2">
      <c r="E36" s="1" t="s">
        <v>17</v>
      </c>
      <c r="F36" s="8">
        <v>5.3999999999999999E-2</v>
      </c>
      <c r="G36" s="8">
        <v>6.5000000000000002E-2</v>
      </c>
      <c r="H36" s="8">
        <v>6.5000000000000002E-2</v>
      </c>
      <c r="I36" s="8">
        <v>6.5000000000000002E-2</v>
      </c>
      <c r="J36" s="8">
        <v>6.3E-2</v>
      </c>
      <c r="K36" s="8">
        <v>5.8999999999999997E-2</v>
      </c>
    </row>
    <row r="37" spans="5:11" x14ac:dyDescent="0.2">
      <c r="E37" s="1"/>
      <c r="F37" s="8"/>
      <c r="G37" s="8"/>
      <c r="H37" s="8"/>
      <c r="I37" s="8"/>
      <c r="J37" s="8"/>
      <c r="K37" s="8"/>
    </row>
    <row r="38" spans="5:11" x14ac:dyDescent="0.2">
      <c r="F38" s="7" t="s">
        <v>27</v>
      </c>
      <c r="G38" s="7" t="s">
        <v>28</v>
      </c>
      <c r="H38" s="7" t="s">
        <v>29</v>
      </c>
      <c r="I38" s="7" t="s">
        <v>30</v>
      </c>
      <c r="J38" s="7" t="s">
        <v>31</v>
      </c>
      <c r="K38" s="7" t="s">
        <v>32</v>
      </c>
    </row>
    <row r="40" spans="5:11" x14ac:dyDescent="0.2">
      <c r="E40" t="s">
        <v>33</v>
      </c>
      <c r="F40" s="5" t="s">
        <v>46</v>
      </c>
      <c r="G40" s="5" t="s">
        <v>53</v>
      </c>
      <c r="H40" s="5" t="s">
        <v>60</v>
      </c>
      <c r="I40" s="5" t="s">
        <v>65</v>
      </c>
      <c r="J40" s="5" t="s">
        <v>69</v>
      </c>
      <c r="K40" s="5" t="s">
        <v>74</v>
      </c>
    </row>
    <row r="41" spans="5:11" x14ac:dyDescent="0.2">
      <c r="E41" t="s">
        <v>34</v>
      </c>
      <c r="F41" s="5" t="s">
        <v>47</v>
      </c>
      <c r="G41" s="5" t="s">
        <v>54</v>
      </c>
      <c r="H41" t="s">
        <v>81</v>
      </c>
      <c r="I41" s="5" t="s">
        <v>79</v>
      </c>
      <c r="J41" s="5" t="s">
        <v>70</v>
      </c>
      <c r="K41" s="5" t="s">
        <v>82</v>
      </c>
    </row>
    <row r="42" spans="5:11" x14ac:dyDescent="0.2">
      <c r="E42" t="s">
        <v>35</v>
      </c>
      <c r="F42" s="5" t="s">
        <v>48</v>
      </c>
      <c r="G42" s="5" t="s">
        <v>55</v>
      </c>
      <c r="H42" s="5" t="s">
        <v>61</v>
      </c>
      <c r="I42" t="s">
        <v>80</v>
      </c>
      <c r="J42" s="5" t="s">
        <v>122</v>
      </c>
      <c r="K42" s="5" t="s">
        <v>75</v>
      </c>
    </row>
    <row r="43" spans="5:11" x14ac:dyDescent="0.2">
      <c r="E43" t="s">
        <v>36</v>
      </c>
      <c r="F43" s="5" t="s">
        <v>49</v>
      </c>
      <c r="G43" s="5" t="s">
        <v>56</v>
      </c>
      <c r="H43" s="5" t="s">
        <v>62</v>
      </c>
      <c r="I43" s="5" t="s">
        <v>66</v>
      </c>
      <c r="J43" s="5" t="s">
        <v>71</v>
      </c>
      <c r="K43" s="5" t="s">
        <v>76</v>
      </c>
    </row>
    <row r="44" spans="5:11" x14ac:dyDescent="0.2">
      <c r="E44" t="s">
        <v>37</v>
      </c>
      <c r="F44" s="5" t="s">
        <v>50</v>
      </c>
      <c r="G44" s="5" t="s">
        <v>57</v>
      </c>
      <c r="H44" s="5" t="s">
        <v>63</v>
      </c>
      <c r="I44" s="5" t="s">
        <v>67</v>
      </c>
      <c r="J44" s="5" t="s">
        <v>72</v>
      </c>
      <c r="K44" s="5" t="s">
        <v>77</v>
      </c>
    </row>
    <row r="45" spans="5:11" x14ac:dyDescent="0.2">
      <c r="E45" t="s">
        <v>38</v>
      </c>
      <c r="F45" s="5" t="s">
        <v>51</v>
      </c>
      <c r="G45" s="5" t="s">
        <v>58</v>
      </c>
      <c r="H45" s="5" t="s">
        <v>64</v>
      </c>
      <c r="I45" s="5" t="s">
        <v>68</v>
      </c>
      <c r="J45" s="5" t="s">
        <v>73</v>
      </c>
      <c r="K45" s="5" t="s">
        <v>78</v>
      </c>
    </row>
    <row r="46" spans="5:11" x14ac:dyDescent="0.2">
      <c r="E46" t="s">
        <v>39</v>
      </c>
      <c r="F46" s="5" t="s">
        <v>52</v>
      </c>
      <c r="G46" s="5" t="s">
        <v>59</v>
      </c>
      <c r="H46" s="5" t="s">
        <v>159</v>
      </c>
      <c r="I46" s="5" t="s">
        <v>160</v>
      </c>
      <c r="J46" s="5" t="s">
        <v>161</v>
      </c>
      <c r="K46" s="5" t="s">
        <v>162</v>
      </c>
    </row>
    <row r="47" spans="5:11" x14ac:dyDescent="0.2">
      <c r="F47" s="5"/>
      <c r="G47" s="5"/>
      <c r="H47" s="5"/>
      <c r="I47" s="5"/>
      <c r="J47" s="5"/>
      <c r="K47" s="5"/>
    </row>
    <row r="48" spans="5:11" x14ac:dyDescent="0.2">
      <c r="F48" s="5"/>
      <c r="G48" s="5"/>
      <c r="J48" s="5"/>
      <c r="K48" s="5"/>
    </row>
    <row r="49" spans="7:9" x14ac:dyDescent="0.2">
      <c r="G49" s="5" t="s">
        <v>53</v>
      </c>
    </row>
    <row r="50" spans="7:9" x14ac:dyDescent="0.2">
      <c r="G50" s="5" t="s">
        <v>54</v>
      </c>
    </row>
    <row r="51" spans="7:9" x14ac:dyDescent="0.2">
      <c r="G51" s="5" t="s">
        <v>55</v>
      </c>
    </row>
    <row r="52" spans="7:9" x14ac:dyDescent="0.2">
      <c r="G52" s="5" t="s">
        <v>56</v>
      </c>
    </row>
    <row r="53" spans="7:9" x14ac:dyDescent="0.2">
      <c r="G53" s="5" t="s">
        <v>57</v>
      </c>
    </row>
    <row r="54" spans="7:9" x14ac:dyDescent="0.2">
      <c r="G54" s="5" t="s">
        <v>58</v>
      </c>
    </row>
    <row r="55" spans="7:9" x14ac:dyDescent="0.2">
      <c r="G55" s="5" t="s">
        <v>59</v>
      </c>
    </row>
    <row r="56" spans="7:9" x14ac:dyDescent="0.2">
      <c r="G56" s="5"/>
    </row>
    <row r="57" spans="7:9" x14ac:dyDescent="0.2">
      <c r="H57" s="5" t="s">
        <v>60</v>
      </c>
    </row>
    <row r="58" spans="7:9" x14ac:dyDescent="0.2">
      <c r="H58" t="s">
        <v>81</v>
      </c>
    </row>
    <row r="59" spans="7:9" x14ac:dyDescent="0.2">
      <c r="H59" s="5" t="s">
        <v>61</v>
      </c>
    </row>
    <row r="60" spans="7:9" x14ac:dyDescent="0.2">
      <c r="H60" s="5" t="s">
        <v>62</v>
      </c>
    </row>
    <row r="61" spans="7:9" x14ac:dyDescent="0.2">
      <c r="H61" s="5" t="s">
        <v>63</v>
      </c>
    </row>
    <row r="62" spans="7:9" x14ac:dyDescent="0.2">
      <c r="H62" s="5" t="s">
        <v>64</v>
      </c>
    </row>
    <row r="63" spans="7:9" x14ac:dyDescent="0.2">
      <c r="H63" s="5" t="s">
        <v>159</v>
      </c>
    </row>
    <row r="64" spans="7:9" x14ac:dyDescent="0.2">
      <c r="I64" s="5" t="s">
        <v>65</v>
      </c>
    </row>
    <row r="65" spans="9:11" x14ac:dyDescent="0.2">
      <c r="I65" s="5" t="s">
        <v>79</v>
      </c>
    </row>
    <row r="66" spans="9:11" x14ac:dyDescent="0.2">
      <c r="I66" t="s">
        <v>80</v>
      </c>
    </row>
    <row r="67" spans="9:11" x14ac:dyDescent="0.2">
      <c r="I67" s="5" t="s">
        <v>66</v>
      </c>
    </row>
    <row r="68" spans="9:11" x14ac:dyDescent="0.2">
      <c r="I68" s="5" t="s">
        <v>67</v>
      </c>
    </row>
    <row r="69" spans="9:11" x14ac:dyDescent="0.2">
      <c r="I69" s="5" t="s">
        <v>68</v>
      </c>
    </row>
    <row r="70" spans="9:11" x14ac:dyDescent="0.2">
      <c r="I70" s="5" t="s">
        <v>160</v>
      </c>
    </row>
    <row r="71" spans="9:11" x14ac:dyDescent="0.2">
      <c r="J71" s="5" t="s">
        <v>69</v>
      </c>
    </row>
    <row r="72" spans="9:11" x14ac:dyDescent="0.2">
      <c r="J72" s="5" t="s">
        <v>70</v>
      </c>
    </row>
    <row r="73" spans="9:11" x14ac:dyDescent="0.2">
      <c r="J73" s="5" t="s">
        <v>122</v>
      </c>
    </row>
    <row r="74" spans="9:11" x14ac:dyDescent="0.2">
      <c r="J74" s="5" t="s">
        <v>71</v>
      </c>
    </row>
    <row r="75" spans="9:11" x14ac:dyDescent="0.2">
      <c r="J75" s="5" t="s">
        <v>72</v>
      </c>
    </row>
    <row r="76" spans="9:11" x14ac:dyDescent="0.2">
      <c r="J76" s="5" t="s">
        <v>73</v>
      </c>
    </row>
    <row r="77" spans="9:11" x14ac:dyDescent="0.2">
      <c r="J77" s="5" t="s">
        <v>161</v>
      </c>
    </row>
    <row r="78" spans="9:11" x14ac:dyDescent="0.2">
      <c r="J78" s="5"/>
    </row>
    <row r="79" spans="9:11" x14ac:dyDescent="0.2">
      <c r="K79" s="5" t="s">
        <v>74</v>
      </c>
    </row>
    <row r="80" spans="9:11" x14ac:dyDescent="0.2">
      <c r="K80" s="5" t="s">
        <v>82</v>
      </c>
    </row>
    <row r="81" spans="11:11" x14ac:dyDescent="0.2">
      <c r="K81" s="5" t="s">
        <v>75</v>
      </c>
    </row>
    <row r="82" spans="11:11" x14ac:dyDescent="0.2">
      <c r="K82" s="5" t="s">
        <v>76</v>
      </c>
    </row>
    <row r="83" spans="11:11" x14ac:dyDescent="0.2">
      <c r="K83" s="5" t="s">
        <v>77</v>
      </c>
    </row>
    <row r="84" spans="11:11" x14ac:dyDescent="0.2">
      <c r="K84" s="5" t="s">
        <v>78</v>
      </c>
    </row>
    <row r="85" spans="11:11" x14ac:dyDescent="0.2">
      <c r="K85" s="5" t="s">
        <v>162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Y67"/>
  <sheetViews>
    <sheetView showGridLines="0" topLeftCell="B1" workbookViewId="0">
      <pane ySplit="7" topLeftCell="A26" activePane="bottomLeft" state="frozen"/>
      <selection pane="bottomLeft" activeCell="P51" sqref="P51"/>
    </sheetView>
  </sheetViews>
  <sheetFormatPr defaultRowHeight="12.75" x14ac:dyDescent="0.2"/>
  <cols>
    <col min="2" max="2" width="2.42578125" customWidth="1"/>
    <col min="3" max="4" width="9.42578125" customWidth="1"/>
    <col min="12" max="12" width="13.42578125" customWidth="1"/>
    <col min="13" max="13" width="2.28515625" customWidth="1"/>
  </cols>
  <sheetData>
    <row r="1" spans="2:25" x14ac:dyDescent="0.2">
      <c r="O1" s="12"/>
    </row>
    <row r="2" spans="2:25" x14ac:dyDescent="0.2">
      <c r="C2" s="11" t="str">
        <f>'AA Workings'!B2</f>
        <v>High Growth</v>
      </c>
      <c r="O2" s="12"/>
    </row>
    <row r="3" spans="2:25" x14ac:dyDescent="0.2">
      <c r="O3" s="12"/>
    </row>
    <row r="4" spans="2:25" x14ac:dyDescent="0.2">
      <c r="O4" s="12"/>
    </row>
    <row r="5" spans="2:25" x14ac:dyDescent="0.2">
      <c r="O5" s="12"/>
    </row>
    <row r="6" spans="2:25" x14ac:dyDescent="0.2">
      <c r="O6" s="12"/>
    </row>
    <row r="7" spans="2:25" x14ac:dyDescent="0.2">
      <c r="O7" s="12"/>
    </row>
    <row r="8" spans="2:25" x14ac:dyDescent="0.2">
      <c r="O8" s="12"/>
    </row>
    <row r="9" spans="2:25" ht="18.75" x14ac:dyDescent="0.3">
      <c r="C9" s="98" t="str">
        <f>C2&amp;" Investor Profile Summary"</f>
        <v>High Growth Investor Profile Summary</v>
      </c>
      <c r="O9" s="12"/>
    </row>
    <row r="10" spans="2:25" ht="7.5" customHeight="1" x14ac:dyDescent="0.2">
      <c r="O10" s="12"/>
    </row>
    <row r="11" spans="2:25" ht="14.25" x14ac:dyDescent="0.2">
      <c r="B11" s="10"/>
      <c r="C11" s="58" t="str">
        <f>U52</f>
        <v>• No exposure to income/ defensive assets</v>
      </c>
      <c r="D11" s="59"/>
      <c r="E11" s="59"/>
      <c r="F11" s="59"/>
      <c r="G11" s="59"/>
      <c r="O11" s="12"/>
      <c r="T11" s="56" t="s">
        <v>1</v>
      </c>
      <c r="U11" s="2">
        <f>HLOOKUP($C$2,Data!$F$4:$K$46,2,FALSE)</f>
        <v>0</v>
      </c>
      <c r="X11" s="56" t="s">
        <v>2</v>
      </c>
      <c r="Y11" s="57">
        <f>U24</f>
        <v>0.47</v>
      </c>
    </row>
    <row r="12" spans="2:25" ht="14.25" x14ac:dyDescent="0.2">
      <c r="B12" s="10"/>
      <c r="C12" s="58" t="str">
        <f t="shared" ref="C12:C17" si="0">U53</f>
        <v xml:space="preserve">• Strong focus on maximising capital growth over the long term and is likely to produce minimal tax effective income </v>
      </c>
      <c r="D12" s="59"/>
      <c r="E12" s="59"/>
      <c r="F12" s="59"/>
      <c r="G12" s="59"/>
      <c r="O12" s="12"/>
      <c r="T12" s="56" t="s">
        <v>111</v>
      </c>
      <c r="U12" s="2">
        <f>HLOOKUP($C$2,Data!$F$4:$K$46,3,FALSE)</f>
        <v>0</v>
      </c>
      <c r="X12" s="56" t="s">
        <v>138</v>
      </c>
      <c r="Y12" s="57">
        <f>U15</f>
        <v>0.43</v>
      </c>
    </row>
    <row r="13" spans="2:25" ht="14.25" x14ac:dyDescent="0.2">
      <c r="B13" s="10"/>
      <c r="C13" s="58" t="str">
        <f t="shared" si="0"/>
        <v>• Investors may expect high short term fluctuation in value and a higher chance in capital loss</v>
      </c>
      <c r="D13" s="59"/>
      <c r="E13" s="59"/>
      <c r="F13" s="59"/>
      <c r="G13" s="59"/>
      <c r="O13" s="12"/>
      <c r="P13" s="4" t="s">
        <v>22</v>
      </c>
      <c r="T13" s="55" t="s">
        <v>112</v>
      </c>
      <c r="U13" s="2">
        <f>HLOOKUP($C$2,Data!$F$4:$K$46,4,FALSE)</f>
        <v>0</v>
      </c>
      <c r="X13" s="56" t="s">
        <v>4</v>
      </c>
      <c r="Y13" s="57">
        <f>U19</f>
        <v>0.1</v>
      </c>
    </row>
    <row r="14" spans="2:25" ht="14.25" x14ac:dyDescent="0.2">
      <c r="B14" s="10"/>
      <c r="C14" s="58" t="str">
        <f t="shared" si="0"/>
        <v>• Investors are prepared to accept this higher risk as a trade off for achieving their long-term investment objectives</v>
      </c>
      <c r="D14" s="59"/>
      <c r="E14" s="59"/>
      <c r="F14" s="59"/>
      <c r="G14" s="59"/>
      <c r="O14" s="12"/>
      <c r="P14" s="4" t="s">
        <v>23</v>
      </c>
      <c r="T14" s="55" t="s">
        <v>113</v>
      </c>
      <c r="U14" s="2">
        <f>HLOOKUP($C$2,Data!$F$4:$K$46,5,FALSE)</f>
        <v>0</v>
      </c>
      <c r="X14" s="56" t="s">
        <v>166</v>
      </c>
      <c r="Y14" s="57">
        <f>U18</f>
        <v>0</v>
      </c>
    </row>
    <row r="15" spans="2:25" ht="14.25" x14ac:dyDescent="0.2">
      <c r="B15" s="10"/>
      <c r="C15" s="58" t="str">
        <f t="shared" si="0"/>
        <v>• Minimum time-frame for investment is 7+ years</v>
      </c>
      <c r="D15" s="59"/>
      <c r="E15" s="59"/>
      <c r="F15" s="59"/>
      <c r="G15" s="59"/>
      <c r="O15" s="12"/>
      <c r="P15" s="4" t="s">
        <v>24</v>
      </c>
      <c r="T15" s="56" t="s">
        <v>3</v>
      </c>
      <c r="U15" s="2">
        <f>HLOOKUP($C$2,Data!$F$4:$K$46,6,FALSE)</f>
        <v>0.43</v>
      </c>
      <c r="X15" s="56" t="s">
        <v>165</v>
      </c>
      <c r="Y15" s="57">
        <f>U12</f>
        <v>0</v>
      </c>
    </row>
    <row r="16" spans="2:25" ht="14.25" x14ac:dyDescent="0.2">
      <c r="B16" s="10"/>
      <c r="C16" s="58" t="str">
        <f t="shared" si="0"/>
        <v>• Investment split is 0% Income and 100% Growth</v>
      </c>
      <c r="D16" s="59"/>
      <c r="E16" s="59"/>
      <c r="F16" s="59"/>
      <c r="G16" s="59"/>
      <c r="O16" s="12"/>
      <c r="P16" s="4" t="s">
        <v>21</v>
      </c>
      <c r="T16" s="55" t="s">
        <v>114</v>
      </c>
      <c r="U16" s="2">
        <f>HLOOKUP($C$2,Data!$F$4:$K$46,7,FALSE)</f>
        <v>0.35</v>
      </c>
      <c r="X16" s="56" t="s">
        <v>1</v>
      </c>
      <c r="Y16" s="57">
        <f>U11</f>
        <v>0</v>
      </c>
    </row>
    <row r="17" spans="2:21" ht="14.25" x14ac:dyDescent="0.2">
      <c r="B17" s="10"/>
      <c r="C17" s="58" t="str">
        <f t="shared" si="0"/>
        <v>• Target above cash (the returns objective) is +4.00%</v>
      </c>
      <c r="D17" s="59"/>
      <c r="E17" s="59"/>
      <c r="F17" s="59"/>
      <c r="G17" s="59"/>
      <c r="O17" s="12"/>
      <c r="P17" s="4" t="s">
        <v>25</v>
      </c>
      <c r="T17" s="55" t="s">
        <v>115</v>
      </c>
      <c r="U17" s="2">
        <f>HLOOKUP($C$2,Data!$F$4:$K$46,8,FALSE)</f>
        <v>0.08</v>
      </c>
    </row>
    <row r="18" spans="2:21" x14ac:dyDescent="0.2">
      <c r="O18" s="12"/>
      <c r="P18" s="4" t="s">
        <v>26</v>
      </c>
      <c r="T18" s="56" t="s">
        <v>116</v>
      </c>
      <c r="U18" s="2">
        <f>HLOOKUP($C$2,Data!$F$4:$K$46,9,FALSE)</f>
        <v>0</v>
      </c>
    </row>
    <row r="19" spans="2:21" x14ac:dyDescent="0.2">
      <c r="O19" s="12"/>
      <c r="T19" s="56" t="s">
        <v>4</v>
      </c>
      <c r="U19" s="2">
        <f>HLOOKUP($C$2,Data!$F$4:$K$46,10,FALSE)</f>
        <v>0.1</v>
      </c>
    </row>
    <row r="20" spans="2:21" x14ac:dyDescent="0.2">
      <c r="O20" s="12"/>
      <c r="T20" s="55" t="s">
        <v>117</v>
      </c>
      <c r="U20" s="2">
        <f>HLOOKUP($C$2,Data!$F$4:$K$46,11,FALSE)</f>
        <v>0.02</v>
      </c>
    </row>
    <row r="21" spans="2:21" x14ac:dyDescent="0.2">
      <c r="O21" s="12"/>
      <c r="T21" s="55" t="s">
        <v>118</v>
      </c>
      <c r="U21" s="2">
        <f>HLOOKUP($C$2,Data!$F$4:$K$46,12,FALSE)</f>
        <v>0.02</v>
      </c>
    </row>
    <row r="22" spans="2:21" x14ac:dyDescent="0.2">
      <c r="O22" s="12"/>
      <c r="T22" s="55" t="s">
        <v>119</v>
      </c>
      <c r="U22" s="2">
        <f>HLOOKUP($C$2,Data!$F$4:$K$46,13,FALSE)</f>
        <v>0.03</v>
      </c>
    </row>
    <row r="23" spans="2:21" x14ac:dyDescent="0.2">
      <c r="O23" s="12"/>
      <c r="T23" s="55" t="s">
        <v>120</v>
      </c>
      <c r="U23" s="2">
        <f>HLOOKUP($C$2,Data!$F$4:$K$46,14,FALSE)</f>
        <v>0.03</v>
      </c>
    </row>
    <row r="24" spans="2:21" x14ac:dyDescent="0.2">
      <c r="O24" s="12"/>
      <c r="T24" s="56" t="s">
        <v>2</v>
      </c>
      <c r="U24" s="2">
        <f>HLOOKUP($C$2,Data!$F$4:$K$46,15,FALSE)</f>
        <v>0.47</v>
      </c>
    </row>
    <row r="25" spans="2:21" x14ac:dyDescent="0.2">
      <c r="O25" s="12"/>
    </row>
    <row r="26" spans="2:21" x14ac:dyDescent="0.2">
      <c r="O26" s="12"/>
    </row>
    <row r="27" spans="2:21" x14ac:dyDescent="0.2">
      <c r="O27" s="12"/>
    </row>
    <row r="28" spans="2:21" x14ac:dyDescent="0.2">
      <c r="O28" s="12"/>
    </row>
    <row r="29" spans="2:21" x14ac:dyDescent="0.2">
      <c r="O29" s="12"/>
      <c r="T29" s="1" t="s">
        <v>5</v>
      </c>
      <c r="U29" s="2">
        <f>HLOOKUP($C$2,Data!$F$4:$K$46,17,FALSE)</f>
        <v>0.28100000000000003</v>
      </c>
    </row>
    <row r="30" spans="2:21" x14ac:dyDescent="0.2">
      <c r="O30" s="12"/>
      <c r="T30" s="1" t="s">
        <v>6</v>
      </c>
      <c r="U30" s="2">
        <f>HLOOKUP($C$2,Data!$F$4:$K$46,18,FALSE)</f>
        <v>0.115</v>
      </c>
    </row>
    <row r="31" spans="2:21" x14ac:dyDescent="0.2">
      <c r="O31" s="12"/>
      <c r="T31" s="1" t="s">
        <v>7</v>
      </c>
      <c r="U31" s="2">
        <f>HLOOKUP($C$2,Data!$F$4:$K$46,19,FALSE)</f>
        <v>0.112</v>
      </c>
    </row>
    <row r="32" spans="2:21" x14ac:dyDescent="0.2">
      <c r="O32" s="12"/>
      <c r="T32" s="1" t="s">
        <v>8</v>
      </c>
      <c r="U32" s="2">
        <f>HLOOKUP($C$2,Data!$F$4:$K$46,20,FALSE)</f>
        <v>0.03</v>
      </c>
    </row>
    <row r="33" spans="3:21" x14ac:dyDescent="0.2">
      <c r="O33" s="12"/>
      <c r="T33" s="1" t="s">
        <v>9</v>
      </c>
      <c r="U33" s="2">
        <f>HLOOKUP($C$2,Data!$F$4:$K$46,21,FALSE)</f>
        <v>8.1000000000000003E-2</v>
      </c>
    </row>
    <row r="34" spans="3:21" x14ac:dyDescent="0.2">
      <c r="O34" s="12"/>
      <c r="T34" s="1" t="s">
        <v>18</v>
      </c>
      <c r="U34" s="2">
        <f>HLOOKUP($C$2,Data!$F$4:$K$46,22,FALSE)</f>
        <v>-0.33700000000000002</v>
      </c>
    </row>
    <row r="35" spans="3:21" x14ac:dyDescent="0.2">
      <c r="O35" s="12"/>
      <c r="T35" s="1" t="s">
        <v>19</v>
      </c>
      <c r="U35" s="2">
        <f>HLOOKUP($C$2,Data!$F$4:$K$46,23,FALSE)</f>
        <v>0.35099999999999998</v>
      </c>
    </row>
    <row r="36" spans="3:21" x14ac:dyDescent="0.2">
      <c r="O36" s="12"/>
      <c r="T36" s="1" t="s">
        <v>20</v>
      </c>
      <c r="U36" s="2">
        <f>HLOOKUP($C$2,Data!$F$4:$K$46,24,FALSE)</f>
        <v>9.1999999999999998E-2</v>
      </c>
    </row>
    <row r="37" spans="3:21" x14ac:dyDescent="0.2">
      <c r="O37" s="12"/>
    </row>
    <row r="38" spans="3:21" ht="13.5" x14ac:dyDescent="0.25">
      <c r="C38" s="60" t="s">
        <v>41</v>
      </c>
      <c r="D38" s="61"/>
      <c r="E38" s="61"/>
      <c r="F38" s="61"/>
      <c r="G38" s="61"/>
      <c r="H38" s="61"/>
      <c r="I38" s="61"/>
      <c r="J38" s="61"/>
      <c r="K38" s="61"/>
      <c r="L38" s="61"/>
      <c r="O38" s="12"/>
      <c r="T38" s="1" t="s">
        <v>10</v>
      </c>
      <c r="U38" s="2" t="str">
        <f>HLOOKUP($C$2,Data!$F$4:$K$46,26,FALSE)</f>
        <v>+/- 8.4%</v>
      </c>
    </row>
    <row r="39" spans="3:21" ht="13.5" x14ac:dyDescent="0.25">
      <c r="C39" s="61"/>
      <c r="D39" s="61"/>
      <c r="E39" s="61"/>
      <c r="F39" s="61"/>
      <c r="G39" s="61"/>
      <c r="H39" s="61"/>
      <c r="I39" s="61"/>
      <c r="J39" s="61"/>
      <c r="K39" s="61"/>
      <c r="L39" s="61"/>
      <c r="O39" s="12"/>
      <c r="T39" s="1" t="s">
        <v>11</v>
      </c>
      <c r="U39" s="2" t="str">
        <f>HLOOKUP($C$2,Data!$F$4:$K$46,27,FALSE)</f>
        <v>+/- 10.0%</v>
      </c>
    </row>
    <row r="40" spans="3:21" ht="13.5" x14ac:dyDescent="0.25">
      <c r="C40" s="61"/>
      <c r="D40" s="62" t="s">
        <v>27</v>
      </c>
      <c r="E40" s="62" t="s">
        <v>28</v>
      </c>
      <c r="F40" s="62" t="s">
        <v>29</v>
      </c>
      <c r="G40" s="62" t="s">
        <v>30</v>
      </c>
      <c r="H40" s="62" t="s">
        <v>31</v>
      </c>
      <c r="I40" s="62" t="s">
        <v>32</v>
      </c>
      <c r="J40" s="61"/>
      <c r="K40" s="61"/>
      <c r="L40" s="61"/>
      <c r="O40" s="12"/>
      <c r="T40" s="1" t="s">
        <v>12</v>
      </c>
      <c r="U40" s="2" t="str">
        <f>HLOOKUP($C$2,Data!$F$4:$K$46,28,FALSE)</f>
        <v>+/- 10.9%</v>
      </c>
    </row>
    <row r="41" spans="3:21" ht="9" customHeight="1" thickBot="1" x14ac:dyDescent="0.3">
      <c r="C41" s="61"/>
      <c r="D41" s="63" t="s">
        <v>42</v>
      </c>
      <c r="E41" s="63" t="s">
        <v>42</v>
      </c>
      <c r="F41" s="63" t="s">
        <v>42</v>
      </c>
      <c r="G41" s="63" t="s">
        <v>42</v>
      </c>
      <c r="H41" s="63" t="s">
        <v>42</v>
      </c>
      <c r="I41" s="63" t="s">
        <v>42</v>
      </c>
      <c r="J41" s="61"/>
      <c r="K41" s="61"/>
      <c r="L41" s="61"/>
      <c r="O41" s="12"/>
      <c r="T41" s="1" t="s">
        <v>13</v>
      </c>
      <c r="U41" s="2">
        <f>HLOOKUP($C$2,Data!$F$4:$K$46,29,FALSE)</f>
        <v>0.26700000000000002</v>
      </c>
    </row>
    <row r="42" spans="3:21" ht="9" customHeight="1" x14ac:dyDescent="0.25">
      <c r="C42" s="61"/>
      <c r="D42" s="64"/>
      <c r="E42" s="64"/>
      <c r="F42" s="64"/>
      <c r="G42" s="64"/>
      <c r="H42" s="64"/>
      <c r="I42" s="64"/>
      <c r="J42" s="61"/>
      <c r="K42" s="61"/>
      <c r="L42" s="61"/>
      <c r="O42" s="12"/>
      <c r="T42" s="1" t="s">
        <v>14</v>
      </c>
      <c r="U42" s="3">
        <f>HLOOKUP($C$2,Data!$F$4:$K$46,30,FALSE)</f>
        <v>4</v>
      </c>
    </row>
    <row r="43" spans="3:21" ht="18" customHeight="1" x14ac:dyDescent="0.25">
      <c r="C43" s="65" t="s">
        <v>43</v>
      </c>
      <c r="D43" s="66"/>
      <c r="E43" s="66"/>
      <c r="F43" s="66"/>
      <c r="G43" s="66"/>
      <c r="H43" s="66"/>
      <c r="I43" s="66"/>
      <c r="J43" s="66"/>
      <c r="K43" s="66"/>
      <c r="L43" s="67"/>
      <c r="O43" s="12"/>
      <c r="T43" s="1" t="s">
        <v>15</v>
      </c>
      <c r="U43" s="2">
        <f>HLOOKUP($C$2,Data!$F$4:$K$46,31,FALSE)</f>
        <v>-9.2999999999999999E-2</v>
      </c>
    </row>
    <row r="44" spans="3:21" ht="13.5" x14ac:dyDescent="0.25">
      <c r="C44" s="68"/>
      <c r="D44" s="69"/>
      <c r="E44" s="70" t="s">
        <v>1</v>
      </c>
      <c r="F44" s="71">
        <f>U11</f>
        <v>0</v>
      </c>
      <c r="G44" s="69"/>
      <c r="H44" s="69"/>
      <c r="I44" s="69"/>
      <c r="J44" s="69"/>
      <c r="K44" s="70" t="s">
        <v>126</v>
      </c>
      <c r="L44" s="72">
        <f t="shared" ref="L44:L50" si="1">U18</f>
        <v>0</v>
      </c>
      <c r="O44" s="12"/>
      <c r="T44" s="1" t="s">
        <v>16</v>
      </c>
      <c r="U44" s="2">
        <f>HLOOKUP($C$2,Data!$F$4:$K$46,32,FALSE)</f>
        <v>0.23699999999999999</v>
      </c>
    </row>
    <row r="45" spans="3:21" ht="13.5" x14ac:dyDescent="0.25">
      <c r="C45" s="68"/>
      <c r="D45" s="69"/>
      <c r="E45" s="70" t="s">
        <v>111</v>
      </c>
      <c r="F45" s="71">
        <f t="shared" ref="F45:F50" si="2">U12</f>
        <v>0</v>
      </c>
      <c r="G45" s="69"/>
      <c r="H45" s="69"/>
      <c r="I45" s="69"/>
      <c r="J45" s="69"/>
      <c r="K45" s="70" t="s">
        <v>4</v>
      </c>
      <c r="L45" s="72">
        <f t="shared" si="1"/>
        <v>0.1</v>
      </c>
      <c r="O45" s="12"/>
      <c r="T45" s="1" t="s">
        <v>17</v>
      </c>
      <c r="U45" s="2">
        <f>HLOOKUP($C$2,Data!$F$4:$K$46,33,FALSE)</f>
        <v>5.8999999999999997E-2</v>
      </c>
    </row>
    <row r="46" spans="3:21" ht="13.5" x14ac:dyDescent="0.25">
      <c r="C46" s="68"/>
      <c r="D46" s="69"/>
      <c r="E46" s="73" t="s">
        <v>112</v>
      </c>
      <c r="F46" s="74">
        <f t="shared" si="2"/>
        <v>0</v>
      </c>
      <c r="G46" s="69"/>
      <c r="H46" s="69"/>
      <c r="I46" s="69"/>
      <c r="J46" s="69"/>
      <c r="K46" s="73" t="s">
        <v>117</v>
      </c>
      <c r="L46" s="75">
        <f t="shared" si="1"/>
        <v>0.02</v>
      </c>
      <c r="O46" s="12"/>
      <c r="U46" s="2"/>
    </row>
    <row r="47" spans="3:21" ht="13.5" x14ac:dyDescent="0.25">
      <c r="C47" s="68"/>
      <c r="D47" s="69"/>
      <c r="E47" s="73" t="s">
        <v>113</v>
      </c>
      <c r="F47" s="74">
        <f t="shared" si="2"/>
        <v>0</v>
      </c>
      <c r="G47" s="69"/>
      <c r="H47" s="69"/>
      <c r="I47" s="69"/>
      <c r="J47" s="69"/>
      <c r="K47" s="73" t="s">
        <v>118</v>
      </c>
      <c r="L47" s="75">
        <f t="shared" si="1"/>
        <v>0.02</v>
      </c>
      <c r="O47" s="12"/>
      <c r="U47" s="2" t="str">
        <f>HLOOKUP($C$2,Data!$F$4:$K$46,35,FALSE)</f>
        <v>Very High</v>
      </c>
    </row>
    <row r="48" spans="3:21" ht="13.5" x14ac:dyDescent="0.25">
      <c r="C48" s="76"/>
      <c r="D48" s="77"/>
      <c r="E48" s="78" t="s">
        <v>3</v>
      </c>
      <c r="F48" s="79">
        <f t="shared" si="2"/>
        <v>0.43</v>
      </c>
      <c r="G48" s="77"/>
      <c r="H48" s="77"/>
      <c r="I48" s="77"/>
      <c r="J48" s="77"/>
      <c r="K48" s="80" t="s">
        <v>119</v>
      </c>
      <c r="L48" s="81">
        <f t="shared" si="1"/>
        <v>0.03</v>
      </c>
      <c r="O48" s="12"/>
    </row>
    <row r="49" spans="1:21" ht="12.75" customHeight="1" x14ac:dyDescent="0.25">
      <c r="C49" s="76"/>
      <c r="D49" s="77"/>
      <c r="E49" s="80" t="s">
        <v>3</v>
      </c>
      <c r="F49" s="82">
        <f t="shared" si="2"/>
        <v>0.35</v>
      </c>
      <c r="G49" s="77"/>
      <c r="H49" s="77"/>
      <c r="I49" s="77"/>
      <c r="J49" s="77"/>
      <c r="K49" s="80" t="s">
        <v>120</v>
      </c>
      <c r="L49" s="81">
        <f t="shared" si="1"/>
        <v>0.03</v>
      </c>
      <c r="O49" s="12"/>
    </row>
    <row r="50" spans="1:21" ht="13.5" x14ac:dyDescent="0.25">
      <c r="C50" s="83"/>
      <c r="D50" s="84"/>
      <c r="E50" s="85" t="s">
        <v>115</v>
      </c>
      <c r="F50" s="86">
        <f t="shared" si="2"/>
        <v>0.08</v>
      </c>
      <c r="G50" s="84"/>
      <c r="H50" s="84"/>
      <c r="I50" s="84"/>
      <c r="J50" s="84"/>
      <c r="K50" s="87" t="s">
        <v>2</v>
      </c>
      <c r="L50" s="88">
        <f t="shared" si="1"/>
        <v>0.47</v>
      </c>
      <c r="O50" s="12"/>
    </row>
    <row r="51" spans="1:21" ht="13.5" x14ac:dyDescent="0.25">
      <c r="C51" s="61"/>
      <c r="D51" s="61"/>
      <c r="E51" s="61"/>
      <c r="F51" s="61"/>
      <c r="G51" s="61"/>
      <c r="H51" s="61"/>
      <c r="I51" s="61"/>
      <c r="J51" s="61"/>
      <c r="K51" s="61"/>
      <c r="L51" s="61"/>
      <c r="O51" s="12"/>
    </row>
    <row r="52" spans="1:21" ht="13.5" x14ac:dyDescent="0.25">
      <c r="C52" s="65" t="s">
        <v>44</v>
      </c>
      <c r="D52" s="66"/>
      <c r="E52" s="66"/>
      <c r="F52" s="66"/>
      <c r="G52" s="66"/>
      <c r="H52" s="66"/>
      <c r="I52" s="66"/>
      <c r="J52" s="66"/>
      <c r="K52" s="66"/>
      <c r="L52" s="67"/>
      <c r="O52" s="12"/>
      <c r="T52" t="s">
        <v>45</v>
      </c>
      <c r="U52" s="2" t="str">
        <f>HLOOKUP($C$2,Data!$F$4:$K$46,37,FALSE)</f>
        <v>• No exposure to income/ defensive assets</v>
      </c>
    </row>
    <row r="53" spans="1:21" x14ac:dyDescent="0.2">
      <c r="A53" s="90"/>
      <c r="B53" s="90"/>
      <c r="C53" s="91"/>
      <c r="D53" s="89"/>
      <c r="E53" s="89" t="s">
        <v>5</v>
      </c>
      <c r="F53" s="92">
        <f t="shared" ref="F53:F60" si="3">U29</f>
        <v>0.28100000000000003</v>
      </c>
      <c r="G53" s="93"/>
      <c r="H53" s="89"/>
      <c r="I53" s="89"/>
      <c r="J53" s="89"/>
      <c r="K53" s="89" t="s">
        <v>108</v>
      </c>
      <c r="L53" s="94" t="str">
        <f t="shared" ref="L53:L60" si="4">U38</f>
        <v>+/- 8.4%</v>
      </c>
      <c r="O53" s="12"/>
      <c r="U53" s="2" t="str">
        <f>HLOOKUP($C$2,Data!$F$4:$K$46,38,FALSE)</f>
        <v xml:space="preserve">• Strong focus on maximising capital growth over the long term and is likely to produce minimal tax effective income </v>
      </c>
    </row>
    <row r="54" spans="1:21" x14ac:dyDescent="0.2">
      <c r="A54" s="90"/>
      <c r="B54" s="90"/>
      <c r="C54" s="91"/>
      <c r="D54" s="89"/>
      <c r="E54" s="89" t="s">
        <v>6</v>
      </c>
      <c r="F54" s="92">
        <f t="shared" si="3"/>
        <v>0.115</v>
      </c>
      <c r="G54" s="93"/>
      <c r="H54" s="89"/>
      <c r="I54" s="89"/>
      <c r="J54" s="89"/>
      <c r="K54" s="89" t="s">
        <v>109</v>
      </c>
      <c r="L54" s="94" t="str">
        <f t="shared" si="4"/>
        <v>+/- 10.0%</v>
      </c>
      <c r="O54" s="12"/>
      <c r="U54" s="2" t="str">
        <f>HLOOKUP($C$2,Data!$F$4:$K$46,39,FALSE)</f>
        <v>• Investors may expect high short term fluctuation in value and a higher chance in capital loss</v>
      </c>
    </row>
    <row r="55" spans="1:21" x14ac:dyDescent="0.2">
      <c r="A55" s="90"/>
      <c r="B55" s="90"/>
      <c r="C55" s="91"/>
      <c r="D55" s="89"/>
      <c r="E55" s="89" t="s">
        <v>7</v>
      </c>
      <c r="F55" s="92">
        <f t="shared" si="3"/>
        <v>0.112</v>
      </c>
      <c r="G55" s="93"/>
      <c r="H55" s="89"/>
      <c r="I55" s="89"/>
      <c r="J55" s="89"/>
      <c r="K55" s="89" t="s">
        <v>110</v>
      </c>
      <c r="L55" s="94" t="str">
        <f t="shared" si="4"/>
        <v>+/- 10.9%</v>
      </c>
      <c r="O55" s="12"/>
      <c r="U55" s="2" t="str">
        <f>HLOOKUP($C$2,Data!$F$4:$K$46,40,FALSE)</f>
        <v>• Investors are prepared to accept this higher risk as a trade off for achieving their long-term investment objectives</v>
      </c>
    </row>
    <row r="56" spans="1:21" x14ac:dyDescent="0.2">
      <c r="A56" s="90"/>
      <c r="B56" s="90"/>
      <c r="C56" s="91"/>
      <c r="D56" s="89"/>
      <c r="E56" s="89" t="s">
        <v>8</v>
      </c>
      <c r="F56" s="92">
        <f t="shared" si="3"/>
        <v>0.03</v>
      </c>
      <c r="G56" s="89"/>
      <c r="H56" s="89"/>
      <c r="I56" s="89"/>
      <c r="J56" s="89"/>
      <c r="K56" s="89" t="s">
        <v>13</v>
      </c>
      <c r="L56" s="94">
        <f t="shared" si="4"/>
        <v>0.26700000000000002</v>
      </c>
      <c r="O56" s="12"/>
      <c r="U56" s="2" t="str">
        <f>HLOOKUP($C$2,Data!$F$4:$K$50,41,FALSE)</f>
        <v>• Minimum time-frame for investment is 7+ years</v>
      </c>
    </row>
    <row r="57" spans="1:21" x14ac:dyDescent="0.2">
      <c r="A57" s="90"/>
      <c r="B57" s="90"/>
      <c r="C57" s="91"/>
      <c r="D57" s="89"/>
      <c r="E57" s="89" t="s">
        <v>9</v>
      </c>
      <c r="F57" s="92">
        <f t="shared" si="3"/>
        <v>8.1000000000000003E-2</v>
      </c>
      <c r="G57" s="89"/>
      <c r="H57" s="89"/>
      <c r="I57" s="89"/>
      <c r="J57" s="89"/>
      <c r="K57" s="89" t="s">
        <v>14</v>
      </c>
      <c r="L57" s="95">
        <f t="shared" si="4"/>
        <v>4</v>
      </c>
      <c r="O57" s="12"/>
      <c r="U57" s="2" t="str">
        <f>HLOOKUP($C$2,Data!$F$4:$K$50,42,FALSE)</f>
        <v>• Investment split is 0% Income and 100% Growth</v>
      </c>
    </row>
    <row r="58" spans="1:21" x14ac:dyDescent="0.2">
      <c r="A58" s="90"/>
      <c r="B58" s="90"/>
      <c r="C58" s="91"/>
      <c r="D58" s="89"/>
      <c r="E58" s="89" t="s">
        <v>18</v>
      </c>
      <c r="F58" s="92">
        <f t="shared" si="3"/>
        <v>-0.33700000000000002</v>
      </c>
      <c r="G58" s="89"/>
      <c r="H58" s="89"/>
      <c r="I58" s="89"/>
      <c r="J58" s="89"/>
      <c r="K58" s="89" t="s">
        <v>15</v>
      </c>
      <c r="L58" s="94">
        <f t="shared" si="4"/>
        <v>-9.2999999999999999E-2</v>
      </c>
      <c r="O58" s="12"/>
      <c r="U58" s="2" t="str">
        <f>HLOOKUP($C$2,Data!$F$4:$K$46,43,FALSE)</f>
        <v>• Target above cash (the returns objective) is +4.00%</v>
      </c>
    </row>
    <row r="59" spans="1:21" x14ac:dyDescent="0.2">
      <c r="A59" s="90"/>
      <c r="B59" s="90"/>
      <c r="C59" s="91"/>
      <c r="D59" s="89"/>
      <c r="E59" s="89" t="s">
        <v>19</v>
      </c>
      <c r="F59" s="92">
        <f t="shared" si="3"/>
        <v>0.35099999999999998</v>
      </c>
      <c r="G59" s="89"/>
      <c r="H59" s="89"/>
      <c r="I59" s="89"/>
      <c r="J59" s="89"/>
      <c r="K59" s="89" t="s">
        <v>16</v>
      </c>
      <c r="L59" s="94">
        <f t="shared" si="4"/>
        <v>0.23699999999999999</v>
      </c>
      <c r="O59" s="12"/>
    </row>
    <row r="60" spans="1:21" x14ac:dyDescent="0.2">
      <c r="A60" s="90"/>
      <c r="B60" s="90"/>
      <c r="C60" s="91"/>
      <c r="D60" s="89"/>
      <c r="E60" s="89" t="s">
        <v>20</v>
      </c>
      <c r="F60" s="92">
        <f t="shared" si="3"/>
        <v>9.1999999999999998E-2</v>
      </c>
      <c r="G60" s="89"/>
      <c r="H60" s="89"/>
      <c r="I60" s="89"/>
      <c r="J60" s="89"/>
      <c r="K60" s="89" t="s">
        <v>17</v>
      </c>
      <c r="L60" s="94">
        <f t="shared" si="4"/>
        <v>5.8999999999999997E-2</v>
      </c>
      <c r="O60" s="12"/>
    </row>
    <row r="61" spans="1:21" x14ac:dyDescent="0.2">
      <c r="A61" s="90"/>
      <c r="B61" s="90"/>
      <c r="C61" s="96" t="s">
        <v>190</v>
      </c>
      <c r="D61" s="59"/>
      <c r="E61" s="59"/>
      <c r="F61" s="59"/>
      <c r="G61" s="59"/>
      <c r="H61" s="59"/>
      <c r="I61" s="59"/>
      <c r="J61" s="59"/>
      <c r="K61" s="59"/>
      <c r="L61" s="59"/>
      <c r="O61" s="12"/>
    </row>
    <row r="62" spans="1:21" x14ac:dyDescent="0.2">
      <c r="A62" s="90"/>
      <c r="B62" s="90"/>
      <c r="C62" s="59" t="s">
        <v>191</v>
      </c>
      <c r="D62" s="59"/>
      <c r="E62" s="59"/>
      <c r="F62" s="59"/>
      <c r="G62" s="59"/>
      <c r="H62" s="59"/>
      <c r="I62" s="59"/>
      <c r="J62" s="59"/>
      <c r="K62" s="59"/>
      <c r="L62" s="59"/>
      <c r="O62" s="12"/>
    </row>
    <row r="63" spans="1:21" x14ac:dyDescent="0.2">
      <c r="A63" s="90"/>
      <c r="B63" s="90"/>
      <c r="C63" s="59" t="s">
        <v>121</v>
      </c>
      <c r="D63" s="59"/>
      <c r="E63" s="59"/>
      <c r="F63" s="59"/>
      <c r="G63" s="59"/>
      <c r="H63" s="59"/>
      <c r="I63" s="59"/>
      <c r="J63" s="59"/>
      <c r="K63" s="59"/>
      <c r="L63" s="59"/>
      <c r="O63" s="12"/>
    </row>
    <row r="64" spans="1:21" x14ac:dyDescent="0.2">
      <c r="A64" s="90"/>
      <c r="B64" s="90"/>
      <c r="C64" s="59" t="s">
        <v>150</v>
      </c>
      <c r="D64" s="59"/>
      <c r="E64" s="59"/>
      <c r="F64" s="59"/>
      <c r="G64" s="59"/>
      <c r="H64" s="59"/>
      <c r="I64" s="59"/>
      <c r="J64" s="59"/>
      <c r="K64" s="59"/>
      <c r="L64" s="59"/>
      <c r="O64" s="12"/>
    </row>
    <row r="65" spans="1:15" ht="6.75" customHeight="1" x14ac:dyDescent="0.2">
      <c r="A65" s="90"/>
      <c r="B65" s="90"/>
      <c r="C65" s="59"/>
      <c r="D65" s="59"/>
      <c r="E65" s="59"/>
      <c r="F65" s="59"/>
      <c r="G65" s="59"/>
      <c r="H65" s="59"/>
      <c r="I65" s="59"/>
      <c r="J65" s="59"/>
      <c r="K65" s="59"/>
      <c r="L65" s="59"/>
      <c r="O65" s="12"/>
    </row>
    <row r="66" spans="1:15" x14ac:dyDescent="0.2">
      <c r="A66" s="90"/>
      <c r="B66" s="90"/>
      <c r="C66" s="97" t="s">
        <v>83</v>
      </c>
      <c r="D66" s="59"/>
      <c r="E66" s="59"/>
      <c r="F66" s="59"/>
      <c r="G66" s="59"/>
      <c r="H66" s="59"/>
      <c r="I66" s="59"/>
      <c r="J66" s="59"/>
      <c r="K66" s="59"/>
      <c r="L66" s="59"/>
    </row>
    <row r="67" spans="1:15" x14ac:dyDescent="0.2">
      <c r="A67" s="90"/>
      <c r="B67" s="90"/>
      <c r="C67" s="97" t="s">
        <v>84</v>
      </c>
      <c r="D67" s="59"/>
      <c r="E67" s="59"/>
      <c r="F67" s="59"/>
      <c r="G67" s="59"/>
      <c r="H67" s="59"/>
      <c r="I67" s="59"/>
      <c r="J67" s="59"/>
      <c r="K67" s="59"/>
      <c r="L67" s="59"/>
    </row>
  </sheetData>
  <sheetProtection sheet="1" objects="1" scenarios="1"/>
  <phoneticPr fontId="2" type="noConversion"/>
  <conditionalFormatting sqref="D40:I40">
    <cfRule type="cellIs" dxfId="35" priority="1" stopIfTrue="1" operator="equal">
      <formula>$U$47</formula>
    </cfRule>
  </conditionalFormatting>
  <printOptions horizontalCentered="1" verticalCentered="1"/>
  <pageMargins left="0.48" right="0.31496062992125984" top="0.51181102362204722" bottom="0.98425196850393704" header="0.31496062992125984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Button 22">
              <controlPr defaultSize="0" print="0" autoFill="0" autoPict="0" macro="[0]!Copy_ProfileA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171450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Copy_ProfileB">
                <anchor moveWithCells="1" sizeWithCells="1">
                  <from>
                    <xdr:col>7</xdr:col>
                    <xdr:colOff>28575</xdr:colOff>
                    <xdr:row>1</xdr:row>
                    <xdr:rowOff>19050</xdr:rowOff>
                  </from>
                  <to>
                    <xdr:col>8</xdr:col>
                    <xdr:colOff>352425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A91"/>
  <sheetViews>
    <sheetView workbookViewId="0">
      <selection activeCell="AG10" sqref="AG10"/>
    </sheetView>
  </sheetViews>
  <sheetFormatPr defaultRowHeight="12.75" x14ac:dyDescent="0.2"/>
  <cols>
    <col min="1" max="1" width="3.85546875" customWidth="1"/>
    <col min="2" max="2" width="2.7109375" customWidth="1"/>
    <col min="3" max="3" width="12.5703125" customWidth="1"/>
    <col min="4" max="4" width="7.5703125" customWidth="1"/>
    <col min="5" max="5" width="13.5703125" customWidth="1"/>
    <col min="6" max="6" width="3.7109375" customWidth="1"/>
    <col min="7" max="7" width="15.7109375" customWidth="1"/>
    <col min="8" max="8" width="3.5703125" hidden="1" customWidth="1"/>
    <col min="9" max="9" width="8.7109375" hidden="1" customWidth="1"/>
    <col min="10" max="10" width="4" hidden="1" customWidth="1"/>
    <col min="11" max="11" width="0" hidden="1" customWidth="1"/>
    <col min="12" max="12" width="11.28515625" bestFit="1" customWidth="1"/>
    <col min="13" max="13" width="11.5703125" bestFit="1" customWidth="1"/>
    <col min="14" max="14" width="4.28515625" customWidth="1"/>
    <col min="15" max="15" width="2.42578125" customWidth="1"/>
    <col min="16" max="16" width="18.140625" customWidth="1"/>
    <col min="17" max="17" width="4.28515625" customWidth="1"/>
    <col min="18" max="18" width="12.7109375" customWidth="1"/>
    <col min="19" max="19" width="10.28515625" customWidth="1"/>
    <col min="20" max="20" width="11.7109375" customWidth="1"/>
    <col min="21" max="21" width="4" hidden="1" customWidth="1"/>
    <col min="22" max="22" width="8.42578125" hidden="1" customWidth="1"/>
    <col min="23" max="23" width="3.7109375" hidden="1" customWidth="1"/>
    <col min="24" max="24" width="0" hidden="1" customWidth="1"/>
    <col min="26" max="26" width="12.42578125" customWidth="1"/>
    <col min="27" max="27" width="4.28515625" customWidth="1"/>
  </cols>
  <sheetData>
    <row r="1" spans="1:27" ht="6.75" customHeight="1" thickBot="1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ht="7.5" customHeight="1" x14ac:dyDescent="0.2">
      <c r="A2" s="18"/>
      <c r="B2" s="19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19"/>
      <c r="P2" s="20"/>
      <c r="Q2" s="20"/>
      <c r="R2" s="20"/>
      <c r="S2" s="20"/>
      <c r="T2" s="20"/>
      <c r="U2" s="20"/>
      <c r="V2" s="20"/>
      <c r="W2" s="20"/>
      <c r="X2" s="20"/>
      <c r="Y2" s="20"/>
      <c r="Z2" s="21"/>
      <c r="AA2" s="18"/>
    </row>
    <row r="3" spans="1:27" x14ac:dyDescent="0.2">
      <c r="A3" s="18"/>
      <c r="B3" s="22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32"/>
      <c r="O3" s="22"/>
      <c r="P3" s="24" t="s">
        <v>92</v>
      </c>
      <c r="Q3" s="23"/>
      <c r="R3" s="23"/>
      <c r="S3" s="23"/>
      <c r="T3" s="23"/>
      <c r="U3" s="23"/>
      <c r="V3" s="23"/>
      <c r="W3" s="23"/>
      <c r="X3" s="23"/>
      <c r="Y3" s="23"/>
      <c r="Z3" s="25"/>
      <c r="AA3" s="18"/>
    </row>
    <row r="4" spans="1:27" x14ac:dyDescent="0.2">
      <c r="A4" s="18"/>
      <c r="B4" s="22"/>
      <c r="C4" s="23"/>
      <c r="D4" s="26"/>
      <c r="E4" s="26"/>
      <c r="F4" s="26"/>
      <c r="G4" s="27" t="s">
        <v>93</v>
      </c>
      <c r="H4" s="26"/>
      <c r="I4" s="26"/>
      <c r="J4" s="26"/>
      <c r="K4" s="26"/>
      <c r="L4" s="28">
        <f>IF('AA Workings'!I2=0,'AA Workings'!W12,'AA Workings'!I2)</f>
        <v>4487733.2200000007</v>
      </c>
      <c r="M4" s="199">
        <f>SUM('AA Workings'!X14:X17)</f>
        <v>4442855.8877999997</v>
      </c>
      <c r="N4" s="23"/>
      <c r="O4" s="22"/>
      <c r="P4" s="111" t="s">
        <v>197</v>
      </c>
      <c r="Q4" s="23"/>
      <c r="R4" s="23"/>
      <c r="S4" s="23"/>
      <c r="T4" s="23"/>
      <c r="U4" s="23"/>
      <c r="V4" s="23"/>
      <c r="W4" s="23"/>
      <c r="X4" s="23"/>
      <c r="Y4" s="23"/>
      <c r="Z4" s="25"/>
      <c r="AA4" s="18"/>
    </row>
    <row r="5" spans="1:27" x14ac:dyDescent="0.2">
      <c r="A5" s="18"/>
      <c r="B5" s="22"/>
      <c r="C5" s="23"/>
      <c r="D5" s="23"/>
      <c r="E5" s="23"/>
      <c r="F5" s="23"/>
      <c r="G5" s="29" t="s">
        <v>1</v>
      </c>
      <c r="H5" s="30"/>
      <c r="I5" s="30"/>
      <c r="J5" s="30"/>
      <c r="K5" s="30"/>
      <c r="L5" s="28">
        <f>'AA Workings'!H2</f>
        <v>0</v>
      </c>
      <c r="M5" s="199">
        <f>'AA Workings'!X18</f>
        <v>0</v>
      </c>
      <c r="N5" s="23"/>
      <c r="O5" s="22"/>
      <c r="P5" s="111" t="s">
        <v>196</v>
      </c>
      <c r="Q5" s="23"/>
      <c r="R5" s="23"/>
      <c r="S5" s="23"/>
      <c r="T5" s="23"/>
      <c r="U5" s="23"/>
      <c r="V5" s="23"/>
      <c r="W5" s="23"/>
      <c r="X5" s="23"/>
      <c r="Y5" s="23"/>
      <c r="Z5" s="25"/>
      <c r="AA5" s="18"/>
    </row>
    <row r="6" spans="1:27" x14ac:dyDescent="0.2">
      <c r="A6" s="18"/>
      <c r="B6" s="22"/>
      <c r="C6" s="23"/>
      <c r="D6" s="23"/>
      <c r="E6" s="23"/>
      <c r="F6" s="23"/>
      <c r="G6" s="23"/>
      <c r="H6" s="23"/>
      <c r="I6" s="23"/>
      <c r="J6" s="23"/>
      <c r="K6" s="23"/>
      <c r="L6" s="23"/>
      <c r="M6" s="199">
        <f>'AA Workings'!X19</f>
        <v>44877.332199999997</v>
      </c>
      <c r="N6" s="23"/>
      <c r="O6" s="22"/>
      <c r="P6" s="111"/>
      <c r="Q6" s="23"/>
      <c r="R6" s="23"/>
      <c r="S6" s="23"/>
      <c r="T6" s="23"/>
      <c r="U6" s="23"/>
      <c r="V6" s="23"/>
      <c r="W6" s="23"/>
      <c r="X6" s="23"/>
      <c r="Y6" s="23"/>
      <c r="Z6" s="25"/>
      <c r="AA6" s="18"/>
    </row>
    <row r="7" spans="1:27" x14ac:dyDescent="0.2">
      <c r="A7" s="18"/>
      <c r="B7" s="22"/>
      <c r="C7" s="23"/>
      <c r="D7" s="23"/>
      <c r="E7" s="23"/>
      <c r="F7" s="23"/>
      <c r="G7" s="27" t="s">
        <v>94</v>
      </c>
      <c r="H7" s="26"/>
      <c r="I7" s="26"/>
      <c r="J7" s="26"/>
      <c r="K7" s="26"/>
      <c r="L7" s="31">
        <f>SUM(M4:M6)</f>
        <v>4487733.22</v>
      </c>
      <c r="M7" s="23"/>
      <c r="N7" s="23"/>
      <c r="O7" s="22"/>
      <c r="P7" s="111" t="s">
        <v>95</v>
      </c>
      <c r="Q7" s="23"/>
      <c r="R7" s="23"/>
      <c r="S7" s="23"/>
      <c r="T7" s="23"/>
      <c r="U7" s="23"/>
      <c r="V7" s="23"/>
      <c r="W7" s="23"/>
      <c r="X7" s="23"/>
      <c r="Y7" s="23"/>
      <c r="Z7" s="25"/>
      <c r="AA7" s="18"/>
    </row>
    <row r="8" spans="1:27" x14ac:dyDescent="0.2">
      <c r="A8" s="18"/>
      <c r="B8" s="22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2"/>
      <c r="P8" s="111" t="s">
        <v>96</v>
      </c>
      <c r="Q8" s="23"/>
      <c r="R8" s="23"/>
      <c r="S8" s="23"/>
      <c r="T8" s="23"/>
      <c r="U8" s="23"/>
      <c r="V8" s="23"/>
      <c r="W8" s="23"/>
      <c r="X8" s="23"/>
      <c r="Y8" s="23"/>
      <c r="Z8" s="25"/>
      <c r="AA8" s="18"/>
    </row>
    <row r="9" spans="1:27" x14ac:dyDescent="0.2">
      <c r="A9" s="18"/>
      <c r="B9" s="22"/>
      <c r="C9" s="23"/>
      <c r="D9" s="23"/>
      <c r="E9" s="23"/>
      <c r="F9" s="23"/>
      <c r="G9" s="23"/>
      <c r="H9" s="23"/>
      <c r="I9" s="23"/>
      <c r="J9" s="23"/>
      <c r="K9" s="23"/>
      <c r="L9" s="23"/>
      <c r="M9" s="24"/>
      <c r="N9" s="24"/>
      <c r="O9" s="22"/>
      <c r="P9" s="23"/>
      <c r="Q9" s="23"/>
      <c r="R9" s="23"/>
      <c r="S9" s="23"/>
      <c r="T9" s="23"/>
      <c r="U9" s="23"/>
      <c r="V9" s="23"/>
      <c r="W9" s="23"/>
      <c r="X9" s="23"/>
      <c r="Y9" s="23"/>
      <c r="Z9" s="25"/>
      <c r="AA9" s="18"/>
    </row>
    <row r="10" spans="1:27" x14ac:dyDescent="0.2">
      <c r="A10" s="18"/>
      <c r="B10" s="22"/>
      <c r="C10" s="23"/>
      <c r="D10" s="23"/>
      <c r="E10" s="23"/>
      <c r="F10" s="32" t="s">
        <v>97</v>
      </c>
      <c r="G10" s="33">
        <f>TRUNC(SUM(M73:M76)*0.01,0)*100</f>
        <v>23000</v>
      </c>
      <c r="H10" s="16"/>
      <c r="I10" s="16"/>
      <c r="J10" s="16"/>
      <c r="K10" s="16"/>
      <c r="L10" s="34">
        <f>IF(ISERROR(G10/L7),"-",G10/L7)</f>
        <v>5.1250818336300305E-3</v>
      </c>
      <c r="M10" s="24" t="s">
        <v>98</v>
      </c>
      <c r="N10" s="23"/>
      <c r="O10" s="22"/>
      <c r="P10" s="35" t="s">
        <v>167</v>
      </c>
      <c r="Q10" s="36"/>
      <c r="R10" s="36"/>
      <c r="S10" s="36"/>
      <c r="T10" s="36"/>
      <c r="U10" s="36"/>
      <c r="V10" s="36"/>
      <c r="W10" s="36"/>
      <c r="X10" s="36"/>
      <c r="Y10" s="36"/>
      <c r="Z10" s="25"/>
      <c r="AA10" s="18"/>
    </row>
    <row r="11" spans="1:27" x14ac:dyDescent="0.2">
      <c r="A11" s="18"/>
      <c r="B11" s="23"/>
      <c r="C11" s="23"/>
      <c r="D11" s="23"/>
      <c r="E11" s="23"/>
      <c r="F11" s="238" t="s">
        <v>253</v>
      </c>
      <c r="G11" s="32">
        <f>'AA Workings'!H4</f>
        <v>0</v>
      </c>
      <c r="H11" s="32"/>
      <c r="I11" s="32"/>
      <c r="J11" s="32"/>
      <c r="K11" s="32"/>
      <c r="L11" s="239">
        <f>(G11-G10)/G10</f>
        <v>-1</v>
      </c>
      <c r="M11" s="251" t="str">
        <f>IF(L11&lt;0,IF(L11&lt;-0.15,"Too Low","+ CPI ?"),"OK")</f>
        <v>Too Low</v>
      </c>
      <c r="N11" s="32"/>
      <c r="O11" s="22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5"/>
      <c r="AA11" s="18"/>
    </row>
    <row r="12" spans="1:27" x14ac:dyDescent="0.2">
      <c r="A12" s="18"/>
      <c r="B12" s="23"/>
      <c r="C12" s="23"/>
      <c r="D12" s="23"/>
      <c r="E12" s="23"/>
      <c r="F12" s="23"/>
      <c r="G12" s="32"/>
      <c r="H12" s="32"/>
      <c r="I12" s="32"/>
      <c r="J12" s="32"/>
      <c r="K12" s="32"/>
      <c r="L12" s="32"/>
      <c r="M12" s="32"/>
      <c r="N12" s="32"/>
      <c r="O12" s="22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5"/>
      <c r="AA12" s="18"/>
    </row>
    <row r="13" spans="1:27" ht="13.5" thickBot="1" x14ac:dyDescent="0.25">
      <c r="A13" s="18"/>
      <c r="B13" s="37"/>
      <c r="C13" s="38"/>
      <c r="D13" s="38"/>
      <c r="E13" s="38"/>
      <c r="F13" s="38"/>
      <c r="G13" s="39"/>
      <c r="H13" s="39"/>
      <c r="I13" s="39"/>
      <c r="J13" s="39"/>
      <c r="K13" s="39"/>
      <c r="L13" s="39"/>
      <c r="M13" s="39"/>
      <c r="N13" s="39"/>
      <c r="O13" s="37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40"/>
      <c r="AA13" s="18"/>
    </row>
    <row r="14" spans="1:27" x14ac:dyDescent="0.2">
      <c r="A14" s="18"/>
      <c r="AA14" s="18"/>
    </row>
    <row r="15" spans="1:27" x14ac:dyDescent="0.2">
      <c r="A15" s="18"/>
      <c r="C15" s="4" t="s">
        <v>228</v>
      </c>
      <c r="F15" s="15" t="s">
        <v>100</v>
      </c>
      <c r="G15" s="42">
        <f>IF($M$44&lt;495,495,$M$44)</f>
        <v>2885</v>
      </c>
      <c r="N15" s="4"/>
      <c r="P15" s="4" t="s">
        <v>238</v>
      </c>
      <c r="S15" s="4" t="s">
        <v>100</v>
      </c>
      <c r="T15" s="42">
        <f>IF($M$44&lt;495,495,$M$44)</f>
        <v>2885</v>
      </c>
      <c r="AA15" s="18"/>
    </row>
    <row r="16" spans="1:27" x14ac:dyDescent="0.2">
      <c r="A16" s="18"/>
      <c r="C16" s="43"/>
      <c r="F16" s="15" t="s">
        <v>101</v>
      </c>
      <c r="G16" s="42">
        <v>300</v>
      </c>
      <c r="N16" s="4"/>
      <c r="P16" s="43"/>
      <c r="R16" s="15" t="s">
        <v>155</v>
      </c>
      <c r="S16" s="113">
        <v>8.3600000000000005E-4</v>
      </c>
      <c r="T16" s="42">
        <f>L7*S16</f>
        <v>3751.7449719199999</v>
      </c>
      <c r="AA16" s="18"/>
    </row>
    <row r="17" spans="1:27" x14ac:dyDescent="0.2">
      <c r="A17" s="18"/>
      <c r="C17" s="43"/>
      <c r="F17" s="15" t="s">
        <v>214</v>
      </c>
      <c r="G17" s="42">
        <v>80</v>
      </c>
      <c r="N17" s="4"/>
      <c r="P17" s="43"/>
      <c r="S17" s="15" t="s">
        <v>214</v>
      </c>
      <c r="T17" s="42">
        <v>80</v>
      </c>
      <c r="AA17" s="18"/>
    </row>
    <row r="18" spans="1:27" x14ac:dyDescent="0.2">
      <c r="A18" s="18"/>
      <c r="C18" s="43"/>
      <c r="F18" s="15" t="s">
        <v>164</v>
      </c>
      <c r="G18" s="42">
        <v>93</v>
      </c>
      <c r="N18" s="4"/>
      <c r="P18" s="43"/>
      <c r="S18" s="15" t="s">
        <v>164</v>
      </c>
      <c r="T18" s="42">
        <v>93</v>
      </c>
      <c r="AA18" s="18"/>
    </row>
    <row r="19" spans="1:27" ht="13.5" thickBot="1" x14ac:dyDescent="0.25">
      <c r="A19" s="18"/>
      <c r="C19" s="43"/>
      <c r="E19" s="102"/>
      <c r="F19" s="103" t="s">
        <v>102</v>
      </c>
      <c r="G19" s="101">
        <f>SUM(G15:G18)</f>
        <v>3358</v>
      </c>
      <c r="N19" s="4"/>
      <c r="P19" s="43"/>
      <c r="R19" s="102"/>
      <c r="S19" s="103" t="s">
        <v>102</v>
      </c>
      <c r="T19" s="101">
        <f>SUM(T15:X18)</f>
        <v>6809.7449719199994</v>
      </c>
      <c r="AA19" s="18"/>
    </row>
    <row r="20" spans="1:27" x14ac:dyDescent="0.2">
      <c r="A20" s="18"/>
      <c r="AA20" s="18"/>
    </row>
    <row r="21" spans="1:27" x14ac:dyDescent="0.2">
      <c r="A21" s="18"/>
      <c r="AA21" s="18"/>
    </row>
    <row r="22" spans="1:27" x14ac:dyDescent="0.2">
      <c r="A22" s="18"/>
      <c r="C22" s="4" t="s">
        <v>226</v>
      </c>
      <c r="F22" s="15" t="s">
        <v>100</v>
      </c>
      <c r="G22" s="42">
        <f>IF(L7&gt;999999,1500,L7*0.0015)</f>
        <v>1500</v>
      </c>
      <c r="P22" s="4" t="s">
        <v>237</v>
      </c>
      <c r="S22" s="4" t="s">
        <v>100</v>
      </c>
      <c r="T22" s="42">
        <f>G22</f>
        <v>1500</v>
      </c>
      <c r="AA22" s="18"/>
    </row>
    <row r="23" spans="1:27" x14ac:dyDescent="0.2">
      <c r="A23" s="18"/>
      <c r="F23" s="15" t="s">
        <v>164</v>
      </c>
      <c r="G23" s="42">
        <v>540</v>
      </c>
      <c r="S23" s="15" t="s">
        <v>164</v>
      </c>
      <c r="T23" s="42">
        <f>G23</f>
        <v>540</v>
      </c>
      <c r="AA23" s="18"/>
    </row>
    <row r="24" spans="1:27" x14ac:dyDescent="0.2">
      <c r="A24" s="18"/>
      <c r="F24" s="15" t="s">
        <v>214</v>
      </c>
      <c r="G24" s="42">
        <v>80</v>
      </c>
      <c r="S24" s="15" t="s">
        <v>214</v>
      </c>
      <c r="T24" s="42">
        <v>95</v>
      </c>
      <c r="AA24" s="18"/>
    </row>
    <row r="25" spans="1:27" ht="13.5" thickBot="1" x14ac:dyDescent="0.25">
      <c r="A25" s="18"/>
      <c r="E25" s="102"/>
      <c r="F25" s="103" t="s">
        <v>102</v>
      </c>
      <c r="G25" s="101">
        <f>SUM(G22:G24)</f>
        <v>2120</v>
      </c>
      <c r="S25" s="4" t="s">
        <v>239</v>
      </c>
      <c r="T25" s="42">
        <f>IF(L7*0.0003&gt;300,300,L7*0.0003)</f>
        <v>300</v>
      </c>
      <c r="AA25" s="18"/>
    </row>
    <row r="26" spans="1:27" ht="13.5" thickBot="1" x14ac:dyDescent="0.25">
      <c r="A26" s="18"/>
      <c r="R26" s="102"/>
      <c r="S26" s="103" t="s">
        <v>102</v>
      </c>
      <c r="T26" s="101">
        <f>SUM(T22:X25)</f>
        <v>2435</v>
      </c>
      <c r="AA26" s="18"/>
    </row>
    <row r="27" spans="1:27" x14ac:dyDescent="0.2">
      <c r="A27" s="18"/>
      <c r="AA27" s="18"/>
    </row>
    <row r="28" spans="1:27" x14ac:dyDescent="0.2">
      <c r="A28" s="18"/>
      <c r="AA28" s="18"/>
    </row>
    <row r="29" spans="1:27" x14ac:dyDescent="0.2">
      <c r="A29" s="18"/>
      <c r="C29" s="4" t="s">
        <v>227</v>
      </c>
      <c r="P29" s="4" t="s">
        <v>249</v>
      </c>
      <c r="R29" s="171"/>
      <c r="S29" s="56"/>
      <c r="T29" s="190"/>
      <c r="AA29" s="18"/>
    </row>
    <row r="30" spans="1:27" x14ac:dyDescent="0.2">
      <c r="A30" s="18"/>
      <c r="F30" s="15" t="s">
        <v>99</v>
      </c>
      <c r="G30" s="42">
        <f>SUM(M63:M67)</f>
        <v>2812.4955</v>
      </c>
      <c r="S30" s="15" t="s">
        <v>100</v>
      </c>
      <c r="T30" s="190">
        <f>G30</f>
        <v>2812.4955</v>
      </c>
      <c r="AA30" s="18"/>
    </row>
    <row r="31" spans="1:27" x14ac:dyDescent="0.2">
      <c r="A31" s="18"/>
      <c r="S31" s="4" t="s">
        <v>239</v>
      </c>
      <c r="T31" s="42">
        <f>L7*0.00025</f>
        <v>1121.933305</v>
      </c>
      <c r="AA31" s="18"/>
    </row>
    <row r="32" spans="1:27" ht="13.5" thickBot="1" x14ac:dyDescent="0.25">
      <c r="A32" s="18"/>
      <c r="C32" s="221" t="s">
        <v>245</v>
      </c>
      <c r="D32" s="222"/>
      <c r="E32" s="222"/>
      <c r="F32" s="223" t="s">
        <v>246</v>
      </c>
      <c r="G32" s="224">
        <f>'AA Workings'!H5*'New v Old Wrap'!L32</f>
        <v>0</v>
      </c>
      <c r="H32" s="222"/>
      <c r="I32" s="222"/>
      <c r="J32" s="222"/>
      <c r="K32" s="222"/>
      <c r="L32" s="231">
        <v>5.0000000000000001E-3</v>
      </c>
      <c r="R32" s="102"/>
      <c r="S32" s="103" t="s">
        <v>102</v>
      </c>
      <c r="T32" s="101">
        <f>SUM(T28:X31)</f>
        <v>3934.428805</v>
      </c>
      <c r="AA32" s="18"/>
    </row>
    <row r="33" spans="1:27" x14ac:dyDescent="0.2">
      <c r="A33" s="18"/>
      <c r="C33" s="225"/>
      <c r="D33" s="16"/>
      <c r="E33" s="16"/>
      <c r="F33" s="56" t="s">
        <v>247</v>
      </c>
      <c r="G33" s="226">
        <f>'AA Workings'!H6*'New v Old Wrap'!L33</f>
        <v>0</v>
      </c>
      <c r="H33" s="16"/>
      <c r="I33" s="16"/>
      <c r="J33" s="16"/>
      <c r="K33" s="16"/>
      <c r="L33" s="232">
        <v>0</v>
      </c>
      <c r="AA33" s="18"/>
    </row>
    <row r="34" spans="1:27" x14ac:dyDescent="0.2">
      <c r="A34" s="18"/>
      <c r="C34" s="227"/>
      <c r="D34" s="228"/>
      <c r="E34" s="228"/>
      <c r="F34" s="229" t="s">
        <v>248</v>
      </c>
      <c r="G34" s="230">
        <f>TRUNC(G10/11,0)*75%</f>
        <v>1567.5</v>
      </c>
      <c r="H34" s="228"/>
      <c r="I34" s="228"/>
      <c r="J34" s="228"/>
      <c r="K34" s="228"/>
      <c r="L34" s="233"/>
      <c r="AA34" s="18"/>
    </row>
    <row r="35" spans="1:27" x14ac:dyDescent="0.2">
      <c r="A35" s="18"/>
      <c r="AA35" s="18"/>
    </row>
    <row r="36" spans="1:27" s="44" customFormat="1" ht="19.5" customHeight="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</row>
    <row r="37" spans="1:27" ht="6.75" customHeight="1" x14ac:dyDescent="0.2"/>
    <row r="40" spans="1:27" ht="15" x14ac:dyDescent="0.25">
      <c r="C40" s="45" t="s">
        <v>103</v>
      </c>
      <c r="D40" s="45"/>
      <c r="E40" s="45"/>
      <c r="F40" s="45"/>
      <c r="G40" s="45"/>
      <c r="H40" s="45"/>
      <c r="I40" s="45"/>
      <c r="J40" s="45"/>
      <c r="K40" s="45"/>
      <c r="N40" s="45"/>
      <c r="P40" s="45" t="s">
        <v>104</v>
      </c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2" spans="1:27" x14ac:dyDescent="0.2">
      <c r="G42" s="52"/>
      <c r="T42" s="52"/>
    </row>
    <row r="43" spans="1:27" x14ac:dyDescent="0.2">
      <c r="C43" s="43" t="s">
        <v>225</v>
      </c>
      <c r="D43" s="43"/>
      <c r="E43" s="43"/>
      <c r="G43" s="13" t="s">
        <v>89</v>
      </c>
      <c r="H43" s="13"/>
      <c r="I43" s="13" t="s">
        <v>90</v>
      </c>
      <c r="K43" s="4" t="s">
        <v>106</v>
      </c>
      <c r="M43" s="52">
        <f>M44/$L$44</f>
        <v>6.4286352565315818E-4</v>
      </c>
      <c r="P43" s="52">
        <f>P44/$L$44</f>
        <v>8.3599999999999994E-4</v>
      </c>
      <c r="Q43" s="43"/>
      <c r="R43" s="52">
        <f>R44/$L$44</f>
        <v>1.4788635256531581E-3</v>
      </c>
      <c r="T43" s="13"/>
      <c r="U43" s="13"/>
      <c r="V43" s="13"/>
      <c r="X43" s="4"/>
      <c r="Y43" s="4"/>
    </row>
    <row r="44" spans="1:27" x14ac:dyDescent="0.2">
      <c r="K44" s="4"/>
      <c r="L44" s="114">
        <f>L7</f>
        <v>4487733.22</v>
      </c>
      <c r="M44" s="115">
        <f>SUM(M45:M49)</f>
        <v>2885</v>
      </c>
      <c r="N44" s="116"/>
      <c r="O44" s="116"/>
      <c r="P44" s="117">
        <f>L44*0.0836%</f>
        <v>3751.7449719199994</v>
      </c>
      <c r="Q44" s="116"/>
      <c r="R44" s="117">
        <f>M44+P44</f>
        <v>6636.7449719199994</v>
      </c>
      <c r="X44" s="4"/>
      <c r="Y44" s="4"/>
    </row>
    <row r="45" spans="1:27" x14ac:dyDescent="0.2">
      <c r="C45" s="50">
        <v>0</v>
      </c>
      <c r="D45" s="7" t="s">
        <v>105</v>
      </c>
      <c r="E45" s="51">
        <v>350000</v>
      </c>
      <c r="G45" s="52">
        <v>4.1999999999999997E-3</v>
      </c>
      <c r="I45">
        <f>100000*G45</f>
        <v>420</v>
      </c>
      <c r="K45">
        <f>I45/2</f>
        <v>210</v>
      </c>
      <c r="M45" s="17">
        <f>IF($L$44&gt;C45,IF($L$44&lt;E45,($L$44-C45)*G45,1470),0)</f>
        <v>1470</v>
      </c>
      <c r="P45" s="50"/>
      <c r="Q45" s="7"/>
      <c r="R45" s="51"/>
      <c r="T45" s="52"/>
      <c r="Z45" s="17"/>
    </row>
    <row r="46" spans="1:27" x14ac:dyDescent="0.2">
      <c r="C46" s="53">
        <v>350001</v>
      </c>
      <c r="D46" s="7" t="s">
        <v>105</v>
      </c>
      <c r="E46" s="54">
        <v>500000</v>
      </c>
      <c r="G46" s="52">
        <v>2.5000000000000001E-3</v>
      </c>
      <c r="I46">
        <f>150000*G46</f>
        <v>375</v>
      </c>
      <c r="K46">
        <f>I46/3</f>
        <v>125</v>
      </c>
      <c r="M46" s="17">
        <f>IF($L$44&gt;C46,IF($L$44&lt;E46,($L$44-C46)*G46,375),0)</f>
        <v>375</v>
      </c>
      <c r="P46" s="53"/>
      <c r="Q46" s="7"/>
      <c r="R46" s="54"/>
      <c r="T46" s="52"/>
      <c r="Z46" s="17"/>
    </row>
    <row r="47" spans="1:27" x14ac:dyDescent="0.2">
      <c r="C47" s="53">
        <v>500001</v>
      </c>
      <c r="D47" s="7" t="s">
        <v>105</v>
      </c>
      <c r="E47" s="54">
        <v>700000</v>
      </c>
      <c r="G47" s="52">
        <v>1.1999999999999999E-3</v>
      </c>
      <c r="I47">
        <f>250000*G47</f>
        <v>300</v>
      </c>
      <c r="K47">
        <f>I47/5</f>
        <v>60</v>
      </c>
      <c r="M47" s="17">
        <f>IF($L$44&gt;E46,IF($L$44&lt;E47,($L$44-E46)*G47,240),0)</f>
        <v>240</v>
      </c>
      <c r="P47" s="53"/>
      <c r="Q47" s="7"/>
      <c r="R47" s="54"/>
      <c r="T47" s="52"/>
      <c r="Z47" s="17"/>
    </row>
    <row r="48" spans="1:27" x14ac:dyDescent="0.2">
      <c r="C48" s="53">
        <v>700001</v>
      </c>
      <c r="D48" s="7" t="s">
        <v>105</v>
      </c>
      <c r="E48" s="54">
        <v>1000000</v>
      </c>
      <c r="G48" s="52">
        <v>1E-3</v>
      </c>
      <c r="I48">
        <f>250000*G48</f>
        <v>250</v>
      </c>
      <c r="K48">
        <f>I48/5</f>
        <v>50</v>
      </c>
      <c r="M48" s="17">
        <f>IF($L$44&gt;E47,IF($L$44&lt;E48,($L$44-E47)*G48,300),0)</f>
        <v>300</v>
      </c>
      <c r="P48" s="53"/>
      <c r="Q48" s="7"/>
      <c r="R48" s="54"/>
      <c r="T48" s="52"/>
      <c r="Z48" s="17"/>
    </row>
    <row r="49" spans="3:26" x14ac:dyDescent="0.2">
      <c r="C49" s="53">
        <v>1000001</v>
      </c>
      <c r="D49" s="7" t="s">
        <v>105</v>
      </c>
      <c r="E49" s="54">
        <v>2000000</v>
      </c>
      <c r="G49" s="52">
        <v>5.0000000000000001E-4</v>
      </c>
      <c r="I49">
        <f>1000000*G49</f>
        <v>500</v>
      </c>
      <c r="K49">
        <f>I49/20</f>
        <v>25</v>
      </c>
      <c r="M49" s="17">
        <f>IF($L$44&gt;E48,IF($L$44&lt;E49,($L$44-E48)*G49,500),0)</f>
        <v>500</v>
      </c>
      <c r="P49" s="53"/>
      <c r="Q49" s="7"/>
      <c r="R49" s="54"/>
      <c r="T49" s="52"/>
      <c r="Z49" s="17"/>
    </row>
    <row r="50" spans="3:26" x14ac:dyDescent="0.2">
      <c r="G50" s="52"/>
      <c r="T50" s="52"/>
    </row>
    <row r="51" spans="3:26" x14ac:dyDescent="0.2">
      <c r="G51" s="52"/>
      <c r="T51" s="52"/>
    </row>
    <row r="52" spans="3:26" x14ac:dyDescent="0.2">
      <c r="G52" s="52"/>
      <c r="T52" s="52"/>
    </row>
    <row r="53" spans="3:26" x14ac:dyDescent="0.2">
      <c r="G53" s="52"/>
      <c r="T53" s="52"/>
    </row>
    <row r="54" spans="3:26" x14ac:dyDescent="0.2">
      <c r="C54" s="46" t="s">
        <v>215</v>
      </c>
      <c r="G54" s="17">
        <f>IF(L7&gt;999999,1500,L7*0.0015)</f>
        <v>1500</v>
      </c>
      <c r="T54" s="52"/>
    </row>
    <row r="55" spans="3:26" x14ac:dyDescent="0.2">
      <c r="G55" s="52"/>
      <c r="T55" s="52"/>
    </row>
    <row r="56" spans="3:26" x14ac:dyDescent="0.2">
      <c r="G56" s="52"/>
      <c r="T56" s="52"/>
    </row>
    <row r="57" spans="3:26" x14ac:dyDescent="0.2">
      <c r="G57" s="52"/>
      <c r="T57" s="52"/>
    </row>
    <row r="58" spans="3:26" x14ac:dyDescent="0.2">
      <c r="G58" s="52"/>
      <c r="T58" s="52"/>
    </row>
    <row r="59" spans="3:26" x14ac:dyDescent="0.2">
      <c r="G59" s="52"/>
      <c r="T59" s="52"/>
    </row>
    <row r="60" spans="3:26" x14ac:dyDescent="0.2">
      <c r="G60" s="52"/>
      <c r="T60" s="52"/>
    </row>
    <row r="61" spans="3:26" x14ac:dyDescent="0.2">
      <c r="C61" s="46" t="s">
        <v>227</v>
      </c>
      <c r="D61" s="41"/>
      <c r="E61" s="41"/>
      <c r="F61" s="46"/>
      <c r="G61" s="47"/>
      <c r="H61" s="46"/>
      <c r="I61" s="46"/>
      <c r="J61" s="46"/>
      <c r="K61" s="46"/>
      <c r="L61" s="46"/>
      <c r="M61" s="46"/>
      <c r="P61" s="189" t="e">
        <f>P62/$L$62</f>
        <v>#DIV/0!</v>
      </c>
      <c r="Q61" s="43"/>
      <c r="R61" s="106">
        <v>2.9999999999999997E-4</v>
      </c>
      <c r="T61" s="219" t="e">
        <f>T62/$L$62</f>
        <v>#DIV/0!</v>
      </c>
    </row>
    <row r="62" spans="3:26" x14ac:dyDescent="0.2">
      <c r="C62" s="46"/>
      <c r="D62" s="46"/>
      <c r="E62" s="46"/>
      <c r="F62" s="46"/>
      <c r="G62" s="47"/>
      <c r="H62" s="46"/>
      <c r="I62" s="46"/>
      <c r="J62" s="46"/>
      <c r="K62" s="46"/>
      <c r="L62" s="46"/>
      <c r="M62" s="115">
        <f>IF(SUM(M63:M67)&lt;475,475,SUM(M63:M67))</f>
        <v>2812.4955</v>
      </c>
      <c r="P62" s="117">
        <f>L62*0.1%</f>
        <v>0</v>
      </c>
      <c r="Q62" s="116"/>
      <c r="R62" s="105">
        <f>IF(L62*R61+95&gt;395,395,L62*R61+95)</f>
        <v>95</v>
      </c>
      <c r="T62" s="117">
        <f>M62+P62</f>
        <v>2812.4955</v>
      </c>
    </row>
    <row r="63" spans="3:26" x14ac:dyDescent="0.2">
      <c r="C63" s="48">
        <v>0</v>
      </c>
      <c r="D63" s="48" t="s">
        <v>105</v>
      </c>
      <c r="E63" s="48">
        <v>250000</v>
      </c>
      <c r="F63" s="46"/>
      <c r="G63" s="218">
        <v>3.7499999999999999E-3</v>
      </c>
      <c r="H63" s="46"/>
      <c r="I63" s="46">
        <f>100000*G63</f>
        <v>375</v>
      </c>
      <c r="J63" s="46"/>
      <c r="K63" s="46">
        <f>I63/2</f>
        <v>187.5</v>
      </c>
      <c r="L63" s="46"/>
      <c r="M63" s="49">
        <f>IF($L$7&gt;C63,IF($L$7&lt;E63,($L$7-C63)*G63,(E63-C63)*G63),0)</f>
        <v>937.5</v>
      </c>
    </row>
    <row r="64" spans="3:26" x14ac:dyDescent="0.2">
      <c r="C64" s="48">
        <v>250001</v>
      </c>
      <c r="D64" s="48" t="s">
        <v>105</v>
      </c>
      <c r="E64" s="48">
        <v>500000</v>
      </c>
      <c r="F64" s="46"/>
      <c r="G64" s="218">
        <v>2.5000000000000001E-3</v>
      </c>
      <c r="H64" s="46"/>
      <c r="I64" s="46">
        <f>150000*G64</f>
        <v>375</v>
      </c>
      <c r="J64" s="46"/>
      <c r="K64" s="46">
        <f>I64/3</f>
        <v>125</v>
      </c>
      <c r="L64" s="46"/>
      <c r="M64" s="49">
        <f t="shared" ref="M64:M67" si="0">IF($L$7&gt;C64,IF($L$7&lt;E64,($L$7-C64)*G64,(E64-C64)*G64),0)</f>
        <v>624.99750000000006</v>
      </c>
    </row>
    <row r="65" spans="3:26" x14ac:dyDescent="0.2">
      <c r="C65" s="48">
        <v>500001</v>
      </c>
      <c r="D65" s="48" t="s">
        <v>105</v>
      </c>
      <c r="E65" s="48">
        <v>1000000</v>
      </c>
      <c r="F65" s="46"/>
      <c r="G65" s="218">
        <v>1.75E-3</v>
      </c>
      <c r="H65" s="46"/>
      <c r="I65" s="46">
        <f>250000*G65</f>
        <v>437.5</v>
      </c>
      <c r="J65" s="46"/>
      <c r="K65" s="46">
        <f>I65/5</f>
        <v>87.5</v>
      </c>
      <c r="L65" s="46"/>
      <c r="M65" s="49">
        <f t="shared" si="0"/>
        <v>874.99824999999998</v>
      </c>
    </row>
    <row r="66" spans="3:26" x14ac:dyDescent="0.2">
      <c r="C66" s="48">
        <v>1000001</v>
      </c>
      <c r="D66" s="48" t="s">
        <v>105</v>
      </c>
      <c r="E66" s="48">
        <v>2500000</v>
      </c>
      <c r="F66" s="46"/>
      <c r="G66" s="218">
        <v>2.5000000000000001E-4</v>
      </c>
      <c r="H66" s="46"/>
      <c r="I66" s="46">
        <f>250000*G66</f>
        <v>62.5</v>
      </c>
      <c r="J66" s="46"/>
      <c r="K66" s="46">
        <f>I66/5</f>
        <v>12.5</v>
      </c>
      <c r="L66" s="46"/>
      <c r="M66" s="49">
        <f t="shared" si="0"/>
        <v>374.99975000000001</v>
      </c>
    </row>
    <row r="67" spans="3:26" x14ac:dyDescent="0.2">
      <c r="C67" s="48">
        <v>2500001</v>
      </c>
      <c r="D67" s="48" t="s">
        <v>105</v>
      </c>
      <c r="E67" s="48">
        <v>100000000</v>
      </c>
      <c r="F67" s="46"/>
      <c r="G67" s="218">
        <v>0</v>
      </c>
      <c r="H67" s="46"/>
      <c r="I67" s="46">
        <f>250000*G67</f>
        <v>0</v>
      </c>
      <c r="J67" s="46"/>
      <c r="K67" s="46">
        <f>I67/5</f>
        <v>0</v>
      </c>
      <c r="L67" s="46"/>
      <c r="M67" s="49">
        <f t="shared" si="0"/>
        <v>0</v>
      </c>
    </row>
    <row r="68" spans="3:26" x14ac:dyDescent="0.2">
      <c r="G68" s="52"/>
      <c r="T68" s="52"/>
    </row>
    <row r="69" spans="3:26" x14ac:dyDescent="0.2">
      <c r="G69" s="52"/>
      <c r="T69" s="52"/>
    </row>
    <row r="70" spans="3:26" x14ac:dyDescent="0.2">
      <c r="G70" s="52"/>
      <c r="T70" s="52"/>
    </row>
    <row r="71" spans="3:26" x14ac:dyDescent="0.2">
      <c r="C71" s="43" t="s">
        <v>107</v>
      </c>
      <c r="M71" s="214">
        <f>SUM(M4:M6)</f>
        <v>4487733.22</v>
      </c>
      <c r="P71" s="43" t="s">
        <v>131</v>
      </c>
      <c r="Q71" s="43"/>
      <c r="R71" s="43"/>
      <c r="T71" s="13" t="s">
        <v>89</v>
      </c>
      <c r="U71" s="13"/>
      <c r="V71" s="13" t="s">
        <v>90</v>
      </c>
      <c r="X71" s="4" t="s">
        <v>106</v>
      </c>
      <c r="Y71" s="4"/>
    </row>
    <row r="72" spans="3:26" x14ac:dyDescent="0.2">
      <c r="X72" s="4"/>
      <c r="Y72" s="4"/>
    </row>
    <row r="73" spans="3:26" x14ac:dyDescent="0.2">
      <c r="C73" s="14">
        <v>0</v>
      </c>
      <c r="E73" s="14">
        <v>500000</v>
      </c>
      <c r="G73" s="52">
        <v>1.0999999999999999E-2</v>
      </c>
      <c r="M73" s="17">
        <f>IF($M$71&gt;C73,IF($M$71&lt;E73,($M$71-C73)*G73,(E73-C73)*G73),0)</f>
        <v>5500</v>
      </c>
      <c r="P73" s="50">
        <v>0</v>
      </c>
      <c r="Q73" s="7" t="s">
        <v>105</v>
      </c>
      <c r="R73" s="51">
        <v>50000</v>
      </c>
      <c r="T73" s="52">
        <v>1.23E-2</v>
      </c>
      <c r="V73">
        <f>100000*T73</f>
        <v>1230</v>
      </c>
      <c r="X73">
        <f>V73/2</f>
        <v>615</v>
      </c>
      <c r="Z73" s="17">
        <f t="shared" ref="Z73:Z78" si="1">IF($L$4&gt;P73,IF($L$4&lt;R73,($L$4-P73)*T73,(R73-P73)*T73),0)</f>
        <v>615</v>
      </c>
    </row>
    <row r="74" spans="3:26" x14ac:dyDescent="0.2">
      <c r="C74" s="14">
        <v>500001</v>
      </c>
      <c r="E74" s="14">
        <v>1000000</v>
      </c>
      <c r="G74" s="52">
        <v>7.7000000000000002E-3</v>
      </c>
      <c r="M74" s="17">
        <f>IF($M$71&gt;C74,IF($M$71&lt;E74,($M$71-C74)*G74,(E74-C74)*G74),0)</f>
        <v>3849.9923000000003</v>
      </c>
      <c r="P74" s="53">
        <v>50001</v>
      </c>
      <c r="Q74" s="7" t="s">
        <v>105</v>
      </c>
      <c r="R74" s="54">
        <v>100000</v>
      </c>
      <c r="T74" s="52">
        <v>9.8399999999999998E-3</v>
      </c>
      <c r="V74">
        <f>150000*T74</f>
        <v>1476</v>
      </c>
      <c r="X74">
        <f>V74/3</f>
        <v>492</v>
      </c>
      <c r="Z74" s="17">
        <f t="shared" si="1"/>
        <v>491.99016</v>
      </c>
    </row>
    <row r="75" spans="3:26" x14ac:dyDescent="0.2">
      <c r="C75" s="14">
        <v>1000001</v>
      </c>
      <c r="E75" s="14">
        <v>2000000</v>
      </c>
      <c r="G75" s="52">
        <v>5.4999999999999997E-3</v>
      </c>
      <c r="M75" s="17">
        <f>IF($M$71&gt;C75,IF($M$71&lt;E75,($M$71-C75)*G75,(E75-C75)*G75),0)</f>
        <v>5499.9944999999998</v>
      </c>
      <c r="P75" s="53">
        <v>100001</v>
      </c>
      <c r="Q75" s="7" t="s">
        <v>105</v>
      </c>
      <c r="R75" s="54">
        <v>250000</v>
      </c>
      <c r="T75" s="52">
        <v>7.3800000000000003E-3</v>
      </c>
      <c r="V75">
        <f>250000*T75</f>
        <v>1845</v>
      </c>
      <c r="X75">
        <f>V75/5</f>
        <v>369</v>
      </c>
      <c r="Z75" s="17">
        <f t="shared" si="1"/>
        <v>1106.99262</v>
      </c>
    </row>
    <row r="76" spans="3:26" x14ac:dyDescent="0.2">
      <c r="C76" s="14">
        <v>2000000</v>
      </c>
      <c r="E76" s="14">
        <v>50000000</v>
      </c>
      <c r="G76" s="52">
        <v>3.3E-3</v>
      </c>
      <c r="M76" s="17">
        <f>IF($M$71&gt;C76,IF($M$71&lt;E76,($M$71-C76)*G76,(E76-C76)*G76),0)</f>
        <v>8209.5196259999993</v>
      </c>
      <c r="P76" s="53">
        <v>250001</v>
      </c>
      <c r="Q76" s="7" t="s">
        <v>105</v>
      </c>
      <c r="R76" s="54">
        <v>1000000</v>
      </c>
      <c r="T76" s="52">
        <v>4.9199999999999999E-3</v>
      </c>
      <c r="V76">
        <f>250000*T76</f>
        <v>1230</v>
      </c>
      <c r="X76">
        <f>V76/5</f>
        <v>246</v>
      </c>
      <c r="Z76" s="17">
        <f t="shared" si="1"/>
        <v>3689.9950800000001</v>
      </c>
    </row>
    <row r="77" spans="3:26" x14ac:dyDescent="0.2">
      <c r="P77" s="53">
        <v>1000001</v>
      </c>
      <c r="Q77" s="7" t="s">
        <v>105</v>
      </c>
      <c r="R77" s="54">
        <v>2000000</v>
      </c>
      <c r="T77" s="52">
        <v>1.0250000000000001E-3</v>
      </c>
      <c r="V77">
        <f>250000*T77</f>
        <v>256.25</v>
      </c>
      <c r="X77">
        <f>V77/5</f>
        <v>51.25</v>
      </c>
      <c r="Z77" s="17">
        <f t="shared" si="1"/>
        <v>1024.998975</v>
      </c>
    </row>
    <row r="78" spans="3:26" x14ac:dyDescent="0.2">
      <c r="P78" s="53">
        <v>1000001</v>
      </c>
      <c r="Q78" s="7" t="s">
        <v>105</v>
      </c>
      <c r="R78" s="54">
        <v>2000000</v>
      </c>
      <c r="T78" s="52">
        <v>1.0250000000000001E-3</v>
      </c>
      <c r="V78">
        <f>1000000*T78</f>
        <v>1025</v>
      </c>
      <c r="X78">
        <f>V78/20</f>
        <v>51.25</v>
      </c>
      <c r="Z78" s="17">
        <f t="shared" si="1"/>
        <v>1024.998975</v>
      </c>
    </row>
    <row r="79" spans="3:26" x14ac:dyDescent="0.2">
      <c r="P79" s="53"/>
      <c r="Q79" s="7"/>
      <c r="R79" s="54"/>
      <c r="T79" s="52"/>
      <c r="Z79" s="17"/>
    </row>
    <row r="84" spans="3:13" x14ac:dyDescent="0.2">
      <c r="C84" s="7" t="s">
        <v>229</v>
      </c>
      <c r="E84" s="7" t="s">
        <v>230</v>
      </c>
      <c r="G84" s="7" t="s">
        <v>231</v>
      </c>
      <c r="L84" s="7" t="s">
        <v>232</v>
      </c>
    </row>
    <row r="85" spans="3:13" x14ac:dyDescent="0.2">
      <c r="C85" s="215">
        <v>0</v>
      </c>
      <c r="E85" s="215">
        <v>250000</v>
      </c>
      <c r="G85" s="216">
        <v>3.7499999999999999E-3</v>
      </c>
      <c r="I85">
        <f>I84+M85</f>
        <v>937.5</v>
      </c>
      <c r="L85" s="215">
        <v>938</v>
      </c>
      <c r="M85" s="217">
        <f>(E85-C85)*G85</f>
        <v>937.5</v>
      </c>
    </row>
    <row r="86" spans="3:13" x14ac:dyDescent="0.2">
      <c r="C86" s="215">
        <v>250000</v>
      </c>
      <c r="E86" s="215">
        <v>500000</v>
      </c>
      <c r="G86" s="216">
        <v>2.5000000000000001E-3</v>
      </c>
      <c r="I86">
        <f>I85+M86</f>
        <v>1562.5</v>
      </c>
      <c r="L86" s="215">
        <v>625</v>
      </c>
      <c r="M86" s="217">
        <f>(E86-C86)*G86</f>
        <v>625</v>
      </c>
    </row>
    <row r="87" spans="3:13" x14ac:dyDescent="0.2">
      <c r="C87" s="215">
        <v>500000</v>
      </c>
      <c r="E87" s="215">
        <v>1000000</v>
      </c>
      <c r="G87" s="216">
        <v>1.75E-3</v>
      </c>
      <c r="I87">
        <f>I86+M87</f>
        <v>2437.5</v>
      </c>
      <c r="L87" s="215">
        <v>875</v>
      </c>
      <c r="M87" s="217">
        <f>(E87-C87)*G87</f>
        <v>875</v>
      </c>
    </row>
    <row r="88" spans="3:13" x14ac:dyDescent="0.2">
      <c r="C88" s="215">
        <v>1000000</v>
      </c>
      <c r="E88" s="215">
        <v>2500000</v>
      </c>
      <c r="G88" s="216">
        <v>2.5000000000000001E-4</v>
      </c>
      <c r="I88">
        <f>I87+M88</f>
        <v>2812.5</v>
      </c>
      <c r="L88" s="215">
        <v>375</v>
      </c>
      <c r="M88" s="217">
        <f>(E88-C88)*G88</f>
        <v>375</v>
      </c>
    </row>
    <row r="89" spans="3:13" x14ac:dyDescent="0.2">
      <c r="C89" s="215">
        <v>2500000</v>
      </c>
      <c r="E89" s="7" t="s">
        <v>233</v>
      </c>
      <c r="G89" s="216">
        <v>0</v>
      </c>
      <c r="L89" s="215">
        <v>2813</v>
      </c>
    </row>
    <row r="90" spans="3:13" x14ac:dyDescent="0.2">
      <c r="C90" s="7" t="s">
        <v>234</v>
      </c>
      <c r="D90" s="215">
        <v>475</v>
      </c>
      <c r="E90" s="7"/>
      <c r="F90" s="7"/>
    </row>
    <row r="91" spans="3:13" x14ac:dyDescent="0.2">
      <c r="C91" s="7" t="s">
        <v>235</v>
      </c>
      <c r="D91" s="110">
        <v>2.0000000000000001E-4</v>
      </c>
      <c r="E91" s="7" t="s">
        <v>236</v>
      </c>
      <c r="F91" s="7"/>
    </row>
  </sheetData>
  <phoneticPr fontId="2" type="noConversion"/>
  <conditionalFormatting sqref="G10">
    <cfRule type="cellIs" dxfId="34" priority="1" stopIfTrue="1" operator="lessThan">
      <formula>2000</formula>
    </cfRule>
  </conditionalFormatting>
  <conditionalFormatting sqref="L10">
    <cfRule type="expression" dxfId="33" priority="2" stopIfTrue="1">
      <formula>$G$10&lt;2000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>
    <tabColor indexed="35"/>
  </sheetPr>
  <dimension ref="A1:AH35"/>
  <sheetViews>
    <sheetView zoomScaleNormal="100" workbookViewId="0">
      <pane ySplit="31" topLeftCell="A59" activePane="bottomLeft" state="frozen"/>
      <selection pane="bottomLeft" activeCell="B25" sqref="B25"/>
    </sheetView>
  </sheetViews>
  <sheetFormatPr defaultRowHeight="12.75" x14ac:dyDescent="0.2"/>
  <cols>
    <col min="1" max="1" width="29.7109375" style="268" customWidth="1"/>
    <col min="2" max="2" width="14" style="268" bestFit="1" customWidth="1"/>
    <col min="3" max="3" width="13.7109375" style="268" customWidth="1"/>
    <col min="4" max="4" width="15.7109375" style="268" customWidth="1"/>
    <col min="5" max="5" width="4.28515625" style="268" customWidth="1"/>
    <col min="6" max="6" width="3.28515625" style="268" customWidth="1"/>
    <col min="7" max="7" width="17.7109375" style="268" bestFit="1" customWidth="1"/>
    <col min="8" max="8" width="16" style="268" customWidth="1"/>
    <col min="9" max="9" width="17.7109375" style="268" bestFit="1" customWidth="1"/>
    <col min="10" max="10" width="16.140625" style="268" customWidth="1"/>
    <col min="11" max="11" width="4" style="268" customWidth="1"/>
    <col min="12" max="12" width="11.5703125" style="268" customWidth="1"/>
    <col min="13" max="13" width="15.7109375" style="268" customWidth="1"/>
    <col min="14" max="15" width="2.140625" style="268" customWidth="1"/>
    <col min="16" max="16" width="9.7109375" style="268" bestFit="1" customWidth="1"/>
    <col min="17" max="17" width="19.7109375" style="268" bestFit="1" customWidth="1"/>
    <col min="18" max="18" width="12.7109375" style="268" customWidth="1"/>
    <col min="19" max="19" width="14" style="268" bestFit="1" customWidth="1"/>
    <col min="20" max="20" width="11.5703125" style="268" bestFit="1" customWidth="1"/>
    <col min="21" max="21" width="17.140625" style="268" customWidth="1"/>
    <col min="22" max="22" width="12.7109375" style="268" customWidth="1"/>
    <col min="23" max="23" width="14" style="268" bestFit="1" customWidth="1"/>
    <col min="24" max="24" width="15" style="268" customWidth="1"/>
    <col min="25" max="25" width="17" style="268" bestFit="1" customWidth="1"/>
    <col min="26" max="26" width="5.140625" style="268" customWidth="1"/>
    <col min="27" max="27" width="24.85546875" style="268" bestFit="1" customWidth="1"/>
    <col min="28" max="29" width="14" style="268" bestFit="1" customWidth="1"/>
    <col min="30" max="32" width="9.140625" style="268"/>
    <col min="33" max="33" width="23" style="268" bestFit="1" customWidth="1"/>
    <col min="34" max="34" width="22.5703125" style="268" customWidth="1"/>
    <col min="35" max="16384" width="9.140625" style="268"/>
  </cols>
  <sheetData>
    <row r="1" spans="1:34" ht="43.5" customHeight="1" x14ac:dyDescent="0.25">
      <c r="A1" s="261"/>
      <c r="B1" s="261"/>
      <c r="C1" s="261"/>
      <c r="D1" s="261"/>
      <c r="E1" s="261"/>
      <c r="F1" s="261"/>
      <c r="G1" s="262" t="s">
        <v>151</v>
      </c>
      <c r="H1" s="263" t="s">
        <v>123</v>
      </c>
      <c r="I1" s="264">
        <f>'New v Old Wrap'!G10</f>
        <v>23000</v>
      </c>
      <c r="J1" s="265">
        <f>'New v Old Wrap'!L10</f>
        <v>5.1250818336300305E-3</v>
      </c>
      <c r="K1" s="266"/>
      <c r="L1" s="266"/>
      <c r="M1" s="266"/>
      <c r="N1" s="267"/>
      <c r="O1" s="266"/>
      <c r="P1" s="261"/>
      <c r="Q1" s="261"/>
      <c r="R1" s="261"/>
      <c r="S1" s="261"/>
      <c r="T1" s="261"/>
      <c r="U1" s="261"/>
      <c r="V1" s="261"/>
      <c r="W1" s="261" t="s">
        <v>153</v>
      </c>
      <c r="X1" s="261"/>
      <c r="Y1" s="261"/>
      <c r="Z1" s="261"/>
      <c r="AA1" s="261"/>
      <c r="AB1" s="261"/>
      <c r="AC1" s="261"/>
    </row>
    <row r="2" spans="1:34" ht="14.25" thickBot="1" x14ac:dyDescent="0.3">
      <c r="A2" s="269" t="s">
        <v>144</v>
      </c>
      <c r="B2" s="112" t="s">
        <v>26</v>
      </c>
      <c r="C2" s="270">
        <f>SUM(C4:C9)</f>
        <v>1</v>
      </c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71"/>
      <c r="O2" s="266"/>
      <c r="Q2" s="272"/>
      <c r="W2" s="273" t="s">
        <v>1</v>
      </c>
    </row>
    <row r="3" spans="1:34" ht="14.25" customHeight="1" thickBot="1" x14ac:dyDescent="0.25">
      <c r="A3" s="274" t="s">
        <v>85</v>
      </c>
      <c r="B3" s="275" t="s">
        <v>142</v>
      </c>
      <c r="C3" s="275" t="s">
        <v>86</v>
      </c>
      <c r="D3" s="276" t="s">
        <v>143</v>
      </c>
      <c r="E3" s="261"/>
      <c r="F3" s="261"/>
      <c r="G3" s="261"/>
      <c r="H3" s="261"/>
      <c r="I3" s="261"/>
      <c r="J3" s="261"/>
      <c r="K3" s="261"/>
      <c r="L3" s="261"/>
      <c r="M3" s="261"/>
      <c r="N3" s="271"/>
      <c r="O3" s="266"/>
      <c r="W3" s="273" t="s">
        <v>152</v>
      </c>
    </row>
    <row r="4" spans="1:34" ht="15.75" thickBot="1" x14ac:dyDescent="0.3">
      <c r="A4" s="278" t="s">
        <v>135</v>
      </c>
      <c r="B4" s="332">
        <v>0.55000000000000004</v>
      </c>
      <c r="C4" s="332">
        <v>0.64</v>
      </c>
      <c r="D4" s="333">
        <v>0.75</v>
      </c>
      <c r="E4" s="261"/>
      <c r="F4" s="261"/>
      <c r="G4" s="277" t="s">
        <v>252</v>
      </c>
      <c r="H4" s="256">
        <v>0</v>
      </c>
      <c r="I4" s="261"/>
      <c r="J4" s="261"/>
      <c r="K4" s="261"/>
      <c r="L4" s="261"/>
      <c r="M4" s="261"/>
      <c r="N4" s="271"/>
      <c r="O4" s="266"/>
      <c r="Q4" s="279" t="s">
        <v>2</v>
      </c>
      <c r="W4" s="280" t="s">
        <v>22</v>
      </c>
    </row>
    <row r="5" spans="1:34" ht="15.75" thickBot="1" x14ac:dyDescent="0.3">
      <c r="A5" s="281" t="s">
        <v>136</v>
      </c>
      <c r="B5" s="334">
        <v>0.15</v>
      </c>
      <c r="C5" s="334">
        <v>0.25</v>
      </c>
      <c r="D5" s="335">
        <v>0.35</v>
      </c>
      <c r="E5" s="261"/>
      <c r="F5" s="261"/>
      <c r="G5" s="277" t="s">
        <v>241</v>
      </c>
      <c r="H5" s="256">
        <v>0</v>
      </c>
      <c r="I5" s="282" t="s">
        <v>244</v>
      </c>
      <c r="J5" s="261"/>
      <c r="K5" s="261"/>
      <c r="L5" s="261"/>
      <c r="M5" s="261"/>
      <c r="N5" s="271"/>
      <c r="O5" s="266"/>
      <c r="Q5" s="279" t="s">
        <v>138</v>
      </c>
      <c r="W5" s="280" t="s">
        <v>23</v>
      </c>
    </row>
    <row r="6" spans="1:34" ht="15.75" thickBot="1" x14ac:dyDescent="0.3">
      <c r="A6" s="281" t="s">
        <v>134</v>
      </c>
      <c r="B6" s="334">
        <v>0</v>
      </c>
      <c r="C6" s="334">
        <v>0.1</v>
      </c>
      <c r="D6" s="335">
        <v>0.2</v>
      </c>
      <c r="E6" s="261"/>
      <c r="F6" s="261"/>
      <c r="G6" s="277" t="s">
        <v>242</v>
      </c>
      <c r="H6" s="256">
        <v>0</v>
      </c>
      <c r="I6" s="282" t="s">
        <v>260</v>
      </c>
      <c r="J6" s="261"/>
      <c r="K6" s="261"/>
      <c r="L6" s="261"/>
      <c r="M6" s="261"/>
      <c r="N6" s="271"/>
      <c r="O6" s="266"/>
      <c r="Q6" s="279" t="s">
        <v>134</v>
      </c>
      <c r="W6" s="280" t="s">
        <v>24</v>
      </c>
    </row>
    <row r="7" spans="1:34" ht="15.75" thickBot="1" x14ac:dyDescent="0.3">
      <c r="A7" s="281" t="s">
        <v>166</v>
      </c>
      <c r="B7" s="334">
        <v>0</v>
      </c>
      <c r="C7" s="334">
        <v>0</v>
      </c>
      <c r="D7" s="335">
        <v>0</v>
      </c>
      <c r="E7" s="261"/>
      <c r="F7" s="261"/>
      <c r="G7" s="277" t="s">
        <v>243</v>
      </c>
      <c r="H7" s="256">
        <v>0</v>
      </c>
      <c r="I7" s="282" t="s">
        <v>259</v>
      </c>
      <c r="J7" s="261"/>
      <c r="K7" s="261"/>
      <c r="L7" s="261"/>
      <c r="M7" s="261"/>
      <c r="N7" s="271"/>
      <c r="O7" s="266"/>
      <c r="Q7" s="279" t="s">
        <v>132</v>
      </c>
      <c r="W7" s="280" t="s">
        <v>21</v>
      </c>
    </row>
    <row r="8" spans="1:34" ht="14.25" thickBot="1" x14ac:dyDescent="0.3">
      <c r="A8" s="281" t="s">
        <v>141</v>
      </c>
      <c r="B8" s="334">
        <v>0</v>
      </c>
      <c r="C8" s="334">
        <v>0</v>
      </c>
      <c r="D8" s="335">
        <v>0.1</v>
      </c>
      <c r="E8" s="261"/>
      <c r="F8" s="261"/>
      <c r="G8" s="261"/>
      <c r="H8" s="261"/>
      <c r="I8" s="261"/>
      <c r="J8" s="261"/>
      <c r="K8" s="261"/>
      <c r="L8" s="261"/>
      <c r="M8" s="261"/>
      <c r="N8" s="271"/>
      <c r="O8" s="266"/>
      <c r="Q8" s="279" t="s">
        <v>133</v>
      </c>
      <c r="W8" s="280" t="s">
        <v>25</v>
      </c>
    </row>
    <row r="9" spans="1:34" ht="15.75" thickBot="1" x14ac:dyDescent="0.3">
      <c r="A9" s="278" t="s">
        <v>1</v>
      </c>
      <c r="B9" s="334">
        <v>0</v>
      </c>
      <c r="C9" s="334">
        <v>0.01</v>
      </c>
      <c r="D9" s="335">
        <v>0.1</v>
      </c>
      <c r="E9" s="261"/>
      <c r="F9" s="261"/>
      <c r="G9" s="266" t="s">
        <v>201</v>
      </c>
      <c r="H9" s="256">
        <v>0</v>
      </c>
      <c r="I9" s="261"/>
      <c r="J9" s="261"/>
      <c r="K9" s="261"/>
      <c r="L9" s="261"/>
      <c r="M9" s="261"/>
      <c r="N9" s="271"/>
      <c r="O9" s="266"/>
      <c r="Q9" s="279" t="s">
        <v>1</v>
      </c>
      <c r="W9" s="280" t="s">
        <v>26</v>
      </c>
      <c r="X9" s="283" t="s">
        <v>201</v>
      </c>
    </row>
    <row r="10" spans="1:34" ht="15.75" customHeight="1" x14ac:dyDescent="0.2">
      <c r="A10" s="261"/>
      <c r="B10" s="261"/>
      <c r="C10" s="261"/>
      <c r="D10" s="261"/>
      <c r="E10" s="261"/>
      <c r="F10" s="261"/>
      <c r="G10" s="261"/>
      <c r="H10" s="261"/>
      <c r="I10" s="261"/>
      <c r="J10" s="261"/>
      <c r="K10" s="261"/>
      <c r="L10" s="261"/>
      <c r="M10" s="261"/>
      <c r="N10" s="271"/>
      <c r="O10" s="266"/>
      <c r="P10" s="261"/>
      <c r="Q10" s="284"/>
      <c r="R10" s="261"/>
      <c r="S10" s="261"/>
      <c r="T10" s="261"/>
      <c r="U10" s="285"/>
      <c r="V10" s="285"/>
      <c r="W10" s="285"/>
      <c r="X10" s="285"/>
      <c r="Y10" s="285"/>
      <c r="Z10" s="285"/>
    </row>
    <row r="11" spans="1:34" ht="6.75" customHeight="1" x14ac:dyDescent="0.2">
      <c r="A11" s="271"/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66"/>
      <c r="P11" s="261"/>
      <c r="Q11" s="284"/>
      <c r="R11" s="261"/>
      <c r="S11" s="261"/>
      <c r="T11" s="261"/>
      <c r="U11" s="285"/>
      <c r="V11" s="285"/>
      <c r="W11" s="285"/>
      <c r="X11" s="285"/>
      <c r="Y11" s="285"/>
      <c r="Z11" s="285"/>
    </row>
    <row r="12" spans="1:34" ht="15.75" customHeight="1" thickBot="1" x14ac:dyDescent="0.25">
      <c r="A12" s="261"/>
      <c r="B12" s="261"/>
      <c r="C12" s="261"/>
      <c r="D12" s="261"/>
      <c r="E12" s="261"/>
      <c r="F12" s="261"/>
      <c r="G12" s="261"/>
      <c r="H12" s="261"/>
      <c r="I12" s="261"/>
      <c r="J12" s="261"/>
      <c r="K12" s="261"/>
      <c r="L12" s="261"/>
      <c r="M12" s="261"/>
      <c r="N12" s="271"/>
      <c r="O12" s="261"/>
      <c r="P12" s="261"/>
      <c r="Q12" s="286" t="s">
        <v>223</v>
      </c>
      <c r="R12" s="287">
        <f>SUM(C4:C9)</f>
        <v>1</v>
      </c>
      <c r="S12" s="261"/>
      <c r="T12" s="261"/>
      <c r="U12" s="285">
        <f>SUM(U14:U19)</f>
        <v>4487733.22</v>
      </c>
      <c r="V12" s="261"/>
      <c r="W12" s="288">
        <f>SUM(D14:D28)</f>
        <v>4487733.2200000007</v>
      </c>
      <c r="X12" s="289">
        <f>H9</f>
        <v>0</v>
      </c>
      <c r="Y12" s="261"/>
      <c r="Z12" s="261"/>
    </row>
    <row r="13" spans="1:34" ht="15.75" customHeight="1" thickBot="1" x14ac:dyDescent="0.3">
      <c r="A13" s="290" t="s">
        <v>137</v>
      </c>
      <c r="B13" s="291" t="s">
        <v>192</v>
      </c>
      <c r="C13" s="291" t="s">
        <v>194</v>
      </c>
      <c r="D13" s="291" t="s">
        <v>193</v>
      </c>
      <c r="H13" s="292" t="s">
        <v>145</v>
      </c>
      <c r="J13" s="261"/>
      <c r="K13" s="261"/>
      <c r="L13" s="261"/>
      <c r="M13" s="261"/>
      <c r="N13" s="271"/>
      <c r="O13" s="261"/>
      <c r="P13" s="293" t="s">
        <v>211</v>
      </c>
      <c r="R13" s="294" t="s">
        <v>146</v>
      </c>
      <c r="S13" s="294" t="s">
        <v>147</v>
      </c>
      <c r="T13" s="294" t="s">
        <v>148</v>
      </c>
      <c r="U13" s="294" t="s">
        <v>149</v>
      </c>
      <c r="V13" s="294" t="s">
        <v>199</v>
      </c>
      <c r="W13" s="294" t="s">
        <v>200</v>
      </c>
      <c r="X13" s="295">
        <f>W12+X12</f>
        <v>4487733.2200000007</v>
      </c>
      <c r="Y13" s="296" t="s">
        <v>202</v>
      </c>
      <c r="AA13" s="297" t="s">
        <v>129</v>
      </c>
      <c r="AB13" s="298">
        <f>SUM(AB14:AB22)</f>
        <v>4487733.22</v>
      </c>
      <c r="AG13" s="299" t="s">
        <v>132</v>
      </c>
      <c r="AH13" s="300" t="s">
        <v>132</v>
      </c>
    </row>
    <row r="14" spans="1:34" ht="12.75" customHeight="1" thickBot="1" x14ac:dyDescent="0.25">
      <c r="A14" s="328" t="s">
        <v>183</v>
      </c>
      <c r="B14" s="329">
        <v>722019.37</v>
      </c>
      <c r="C14" s="331">
        <v>18.829999999999998</v>
      </c>
      <c r="D14" s="331">
        <v>2562808.84</v>
      </c>
      <c r="G14" s="301" t="str">
        <f t="shared" ref="G14:G28" si="0">IF(A14="Grand Total:",0,IF(ISERROR(VLOOKUP(A14,$AG$13:$AH$28,2,FALSE)),"Adjust",VLOOKUP(A14,$AG$13:$AH$28,2,FALSE)))</f>
        <v>Australian Shares</v>
      </c>
      <c r="H14" s="104"/>
      <c r="I14" s="301" t="str">
        <f>IF(H14="",G14,H14)</f>
        <v>Australian Shares</v>
      </c>
      <c r="J14" s="261"/>
      <c r="K14" s="261"/>
      <c r="L14" s="261"/>
      <c r="M14" s="261"/>
      <c r="N14" s="271"/>
      <c r="O14" s="261"/>
      <c r="P14" s="268" t="str">
        <f>IF(R30="OK",S30,R30)</f>
        <v>OK</v>
      </c>
      <c r="Q14" s="279" t="s">
        <v>2</v>
      </c>
      <c r="R14" s="302">
        <f t="shared" ref="R14:R19" si="1">IF($R$12=1,C4,$T14)</f>
        <v>0.64</v>
      </c>
      <c r="S14" s="303">
        <f>$U$12*R14</f>
        <v>2872149.2607999998</v>
      </c>
      <c r="T14" s="304">
        <f t="shared" ref="T14:T19" si="2">U14/$U$12</f>
        <v>0.57106978386741092</v>
      </c>
      <c r="U14" s="303">
        <f>SUMIF($I$14:$I$28,Q14,$D$14:$D$28)</f>
        <v>2562808.84</v>
      </c>
      <c r="V14" s="304">
        <f>T14-R14</f>
        <v>-6.8930216132589095E-2</v>
      </c>
      <c r="W14" s="305">
        <f>U14-S14</f>
        <v>-309340.42079999996</v>
      </c>
      <c r="X14" s="303">
        <f>IF(X$12=0,S14,$X$13*R14)</f>
        <v>2872149.2607999998</v>
      </c>
      <c r="Y14" s="305">
        <f>X14-U14</f>
        <v>309340.42079999996</v>
      </c>
      <c r="AA14" s="306" t="s">
        <v>2</v>
      </c>
      <c r="AB14" s="307">
        <f>SUMIF($I$14:$I$28,AA14,$D$14:$D$28)</f>
        <v>2562808.84</v>
      </c>
      <c r="AG14" s="308" t="s">
        <v>1</v>
      </c>
      <c r="AH14" s="309" t="s">
        <v>1</v>
      </c>
    </row>
    <row r="15" spans="1:34" ht="12.75" customHeight="1" thickBot="1" x14ac:dyDescent="0.25">
      <c r="A15" s="328" t="s">
        <v>182</v>
      </c>
      <c r="B15" s="329">
        <v>650569.78</v>
      </c>
      <c r="C15" s="331">
        <v>1</v>
      </c>
      <c r="D15" s="331">
        <v>650569.78</v>
      </c>
      <c r="G15" s="301" t="str">
        <f t="shared" si="0"/>
        <v>Cash</v>
      </c>
      <c r="H15" s="104"/>
      <c r="I15" s="301" t="str">
        <f t="shared" ref="I15:I28" si="3">IF(H15="",G15,H15)</f>
        <v>Cash</v>
      </c>
      <c r="J15" s="261"/>
      <c r="K15" s="261"/>
      <c r="L15" s="310" t="s">
        <v>163</v>
      </c>
      <c r="M15" s="311">
        <f>SUM(U14:U19)</f>
        <v>4487733.22</v>
      </c>
      <c r="N15" s="271"/>
      <c r="O15" s="285"/>
      <c r="P15" s="268" t="str">
        <f t="shared" ref="P15:P19" si="4">IF(R31="OK",S31,R31)</f>
        <v>OK</v>
      </c>
      <c r="Q15" s="279" t="s">
        <v>138</v>
      </c>
      <c r="R15" s="302">
        <f t="shared" si="1"/>
        <v>0.25</v>
      </c>
      <c r="S15" s="303">
        <f t="shared" ref="S15:S19" si="5">$U$12*R15</f>
        <v>1121933.3049999999</v>
      </c>
      <c r="T15" s="304">
        <f t="shared" si="2"/>
        <v>0.22772393988250489</v>
      </c>
      <c r="U15" s="303">
        <f>SUMIF($I$14:$I$28,Q15,$D$14:$D$28)-H7</f>
        <v>1021964.29</v>
      </c>
      <c r="V15" s="304">
        <f t="shared" ref="V15:V19" si="6">T15-R15</f>
        <v>-2.2276060117495111E-2</v>
      </c>
      <c r="W15" s="305">
        <f t="shared" ref="W15:W19" si="7">U15-S15</f>
        <v>-99969.014999999898</v>
      </c>
      <c r="X15" s="303">
        <f t="shared" ref="X15:X19" si="8">IF(X$12=0,S15,$X$13*R15)</f>
        <v>1121933.3049999999</v>
      </c>
      <c r="Y15" s="305">
        <f t="shared" ref="Y15:Y19" si="9">X15-U15</f>
        <v>99969.014999999898</v>
      </c>
      <c r="AA15" s="312" t="s">
        <v>138</v>
      </c>
      <c r="AB15" s="313">
        <f>SUMIF($I$14:$I$28,AA15,$D$14:$D$28)-H7</f>
        <v>1021964.29</v>
      </c>
      <c r="AG15" s="308" t="s">
        <v>188</v>
      </c>
      <c r="AH15" s="309" t="s">
        <v>132</v>
      </c>
    </row>
    <row r="16" spans="1:34" ht="12.75" customHeight="1" thickBot="1" x14ac:dyDescent="0.25">
      <c r="A16" s="328" t="s">
        <v>185</v>
      </c>
      <c r="B16" s="329">
        <v>125137.96</v>
      </c>
      <c r="C16" s="331">
        <v>15.26</v>
      </c>
      <c r="D16" s="331">
        <v>252390.31</v>
      </c>
      <c r="G16" s="301" t="str">
        <f t="shared" si="0"/>
        <v>Property</v>
      </c>
      <c r="H16" s="104"/>
      <c r="I16" s="301" t="str">
        <f t="shared" si="3"/>
        <v>Property</v>
      </c>
      <c r="J16" s="261"/>
      <c r="K16" s="282"/>
      <c r="L16" s="277" t="s">
        <v>224</v>
      </c>
      <c r="M16" s="314">
        <f>X13</f>
        <v>4487733.2200000007</v>
      </c>
      <c r="N16" s="271"/>
      <c r="O16" s="261"/>
      <c r="P16" s="268" t="str">
        <f t="shared" si="4"/>
        <v>OK</v>
      </c>
      <c r="Q16" s="279" t="s">
        <v>134</v>
      </c>
      <c r="R16" s="302">
        <f t="shared" si="1"/>
        <v>0.1</v>
      </c>
      <c r="S16" s="303">
        <f t="shared" si="5"/>
        <v>448773.32199999999</v>
      </c>
      <c r="T16" s="304">
        <f t="shared" si="2"/>
        <v>5.62400431637066E-2</v>
      </c>
      <c r="U16" s="303">
        <f>SUMIF($I$14:$I$28,Q16,$D$14:$D$28)+H7</f>
        <v>252390.31</v>
      </c>
      <c r="V16" s="304">
        <f t="shared" si="6"/>
        <v>-4.3759956836293405E-2</v>
      </c>
      <c r="W16" s="305">
        <f t="shared" si="7"/>
        <v>-196383.01199999999</v>
      </c>
      <c r="X16" s="303">
        <f t="shared" si="8"/>
        <v>448773.32199999999</v>
      </c>
      <c r="Y16" s="305">
        <f t="shared" si="9"/>
        <v>196383.01199999999</v>
      </c>
      <c r="AA16" s="312" t="s">
        <v>134</v>
      </c>
      <c r="AB16" s="313">
        <f>SUMIF($I$14:$I$28,AA16,$D$14:$D$28)+H7</f>
        <v>252390.31</v>
      </c>
      <c r="AG16" s="308" t="s">
        <v>182</v>
      </c>
      <c r="AH16" s="309" t="s">
        <v>1</v>
      </c>
    </row>
    <row r="17" spans="1:34" ht="12.75" customHeight="1" thickBot="1" x14ac:dyDescent="0.25">
      <c r="A17" s="328" t="s">
        <v>187</v>
      </c>
      <c r="B17" s="329">
        <v>581586.94999999995</v>
      </c>
      <c r="C17" s="331">
        <v>1.06</v>
      </c>
      <c r="D17" s="331">
        <v>1021964.29</v>
      </c>
      <c r="G17" s="301" t="str">
        <f t="shared" si="0"/>
        <v>International Shares</v>
      </c>
      <c r="H17" s="104"/>
      <c r="I17" s="301" t="str">
        <f t="shared" si="3"/>
        <v>International Shares</v>
      </c>
      <c r="J17" s="261"/>
      <c r="K17" s="261"/>
      <c r="L17" s="261"/>
      <c r="M17" s="261"/>
      <c r="N17" s="271"/>
      <c r="O17" s="261"/>
      <c r="P17" s="268" t="str">
        <f t="shared" si="4"/>
        <v>OK</v>
      </c>
      <c r="Q17" s="279" t="s">
        <v>132</v>
      </c>
      <c r="R17" s="302">
        <f t="shared" si="1"/>
        <v>0</v>
      </c>
      <c r="S17" s="303">
        <f t="shared" si="5"/>
        <v>0</v>
      </c>
      <c r="T17" s="304">
        <f t="shared" si="2"/>
        <v>0</v>
      </c>
      <c r="U17" s="303">
        <f t="shared" ref="U17:U19" si="10">SUMIF($I$14:$I$28,Q17,$D$14:$D$28)</f>
        <v>0</v>
      </c>
      <c r="V17" s="304">
        <f t="shared" si="6"/>
        <v>0</v>
      </c>
      <c r="W17" s="305">
        <f t="shared" si="7"/>
        <v>0</v>
      </c>
      <c r="X17" s="303">
        <f t="shared" si="8"/>
        <v>0</v>
      </c>
      <c r="Y17" s="305">
        <f t="shared" si="9"/>
        <v>0</v>
      </c>
      <c r="AA17" s="312" t="s">
        <v>132</v>
      </c>
      <c r="AB17" s="313">
        <f t="shared" ref="AB17:AB19" si="11">SUMIF($I$14:$I$28,AA17,$D$14:$D$28)</f>
        <v>0</v>
      </c>
      <c r="AG17" s="308" t="s">
        <v>183</v>
      </c>
      <c r="AH17" s="309" t="s">
        <v>2</v>
      </c>
    </row>
    <row r="18" spans="1:34" ht="12.75" customHeight="1" thickBot="1" x14ac:dyDescent="0.25">
      <c r="A18" s="328"/>
      <c r="B18" s="329"/>
      <c r="C18" s="331"/>
      <c r="D18" s="331"/>
      <c r="G18" s="301" t="str">
        <f t="shared" si="0"/>
        <v>Adjust</v>
      </c>
      <c r="H18" s="104"/>
      <c r="I18" s="301" t="str">
        <f t="shared" si="3"/>
        <v>Adjust</v>
      </c>
      <c r="J18" s="261"/>
      <c r="K18" s="261"/>
      <c r="L18" s="261"/>
      <c r="M18" s="261"/>
      <c r="N18" s="271"/>
      <c r="O18" s="261"/>
      <c r="P18" s="268" t="str">
        <f t="shared" si="4"/>
        <v>OK</v>
      </c>
      <c r="Q18" s="279" t="s">
        <v>133</v>
      </c>
      <c r="R18" s="302">
        <f t="shared" si="1"/>
        <v>0</v>
      </c>
      <c r="S18" s="303">
        <f t="shared" si="5"/>
        <v>0</v>
      </c>
      <c r="T18" s="304">
        <f t="shared" si="2"/>
        <v>0</v>
      </c>
      <c r="U18" s="303">
        <f t="shared" si="10"/>
        <v>0</v>
      </c>
      <c r="V18" s="304">
        <f t="shared" si="6"/>
        <v>0</v>
      </c>
      <c r="W18" s="305">
        <f t="shared" si="7"/>
        <v>0</v>
      </c>
      <c r="X18" s="303">
        <f t="shared" si="8"/>
        <v>0</v>
      </c>
      <c r="Y18" s="305">
        <f t="shared" si="9"/>
        <v>0</v>
      </c>
      <c r="AA18" s="312" t="s">
        <v>133</v>
      </c>
      <c r="AB18" s="313">
        <f t="shared" si="11"/>
        <v>0</v>
      </c>
      <c r="AG18" s="308" t="s">
        <v>184</v>
      </c>
      <c r="AH18" s="309" t="s">
        <v>133</v>
      </c>
    </row>
    <row r="19" spans="1:34" ht="12.75" customHeight="1" thickBot="1" x14ac:dyDescent="0.25">
      <c r="A19" s="328"/>
      <c r="B19" s="329"/>
      <c r="C19" s="331"/>
      <c r="D19" s="331"/>
      <c r="G19" s="301" t="str">
        <f t="shared" si="0"/>
        <v>Adjust</v>
      </c>
      <c r="H19" s="104"/>
      <c r="I19" s="301" t="str">
        <f t="shared" si="3"/>
        <v>Adjust</v>
      </c>
      <c r="J19" s="261"/>
      <c r="K19" s="261"/>
      <c r="L19" s="286"/>
      <c r="M19" s="315"/>
      <c r="N19" s="271"/>
      <c r="O19" s="315"/>
      <c r="P19" s="268" t="str">
        <f t="shared" si="4"/>
        <v>Over</v>
      </c>
      <c r="Q19" s="279" t="s">
        <v>1</v>
      </c>
      <c r="R19" s="302">
        <f t="shared" si="1"/>
        <v>0.01</v>
      </c>
      <c r="S19" s="303">
        <f t="shared" si="5"/>
        <v>44877.332199999997</v>
      </c>
      <c r="T19" s="304">
        <f t="shared" si="2"/>
        <v>0.14496623308637763</v>
      </c>
      <c r="U19" s="303">
        <f t="shared" si="10"/>
        <v>650569.78</v>
      </c>
      <c r="V19" s="304">
        <f t="shared" si="6"/>
        <v>0.13496623308637762</v>
      </c>
      <c r="W19" s="305">
        <f t="shared" si="7"/>
        <v>605692.44780000008</v>
      </c>
      <c r="X19" s="303">
        <f t="shared" si="8"/>
        <v>44877.332199999997</v>
      </c>
      <c r="Y19" s="305">
        <f t="shared" si="9"/>
        <v>-605692.44780000008</v>
      </c>
      <c r="AA19" s="316" t="s">
        <v>1</v>
      </c>
      <c r="AB19" s="317">
        <f t="shared" si="11"/>
        <v>650569.78</v>
      </c>
      <c r="AG19" s="308" t="s">
        <v>185</v>
      </c>
      <c r="AH19" s="309" t="s">
        <v>134</v>
      </c>
    </row>
    <row r="20" spans="1:34" ht="12.75" customHeight="1" thickBot="1" x14ac:dyDescent="0.25">
      <c r="A20" s="328"/>
      <c r="B20" s="329"/>
      <c r="C20" s="331"/>
      <c r="D20" s="331"/>
      <c r="G20" s="301" t="str">
        <f t="shared" si="0"/>
        <v>Adjust</v>
      </c>
      <c r="H20" s="104"/>
      <c r="I20" s="301" t="str">
        <f t="shared" si="3"/>
        <v>Adjust</v>
      </c>
      <c r="J20" s="261"/>
      <c r="K20" s="261"/>
      <c r="L20" s="261"/>
      <c r="M20" s="261"/>
      <c r="N20" s="271"/>
      <c r="O20" s="261"/>
      <c r="AG20" s="308" t="s">
        <v>189</v>
      </c>
      <c r="AH20" s="309" t="s">
        <v>132</v>
      </c>
    </row>
    <row r="21" spans="1:34" ht="12.75" customHeight="1" thickBot="1" x14ac:dyDescent="0.25">
      <c r="A21" s="328"/>
      <c r="B21" s="329"/>
      <c r="C21" s="331"/>
      <c r="D21" s="331"/>
      <c r="G21" s="301" t="str">
        <f t="shared" si="0"/>
        <v>Adjust</v>
      </c>
      <c r="H21" s="104"/>
      <c r="I21" s="301" t="str">
        <f t="shared" si="3"/>
        <v>Adjust</v>
      </c>
      <c r="J21" s="261"/>
      <c r="K21" s="261"/>
      <c r="L21" s="261"/>
      <c r="M21" s="261"/>
      <c r="N21" s="271"/>
      <c r="O21" s="261"/>
      <c r="AG21" s="308" t="s">
        <v>186</v>
      </c>
      <c r="AH21" s="309" t="s">
        <v>1</v>
      </c>
    </row>
    <row r="22" spans="1:34" ht="12.75" customHeight="1" thickBot="1" x14ac:dyDescent="0.25">
      <c r="A22" s="328"/>
      <c r="B22" s="329"/>
      <c r="C22" s="330"/>
      <c r="D22" s="330"/>
      <c r="G22" s="301" t="str">
        <f t="shared" si="0"/>
        <v>Adjust</v>
      </c>
      <c r="H22" s="104"/>
      <c r="I22" s="301" t="str">
        <f t="shared" si="3"/>
        <v>Adjust</v>
      </c>
      <c r="J22" s="261"/>
      <c r="K22" s="261"/>
      <c r="L22" s="261"/>
      <c r="M22" s="261"/>
      <c r="N22" s="271"/>
      <c r="O22" s="261"/>
      <c r="AG22" s="308" t="s">
        <v>187</v>
      </c>
      <c r="AH22" s="309" t="s">
        <v>138</v>
      </c>
    </row>
    <row r="23" spans="1:34" ht="12.75" customHeight="1" thickBot="1" x14ac:dyDescent="0.3">
      <c r="A23" s="119"/>
      <c r="B23" s="120"/>
      <c r="C23" s="121"/>
      <c r="D23" s="121"/>
      <c r="G23" s="301" t="str">
        <f t="shared" si="0"/>
        <v>Adjust</v>
      </c>
      <c r="H23" s="104"/>
      <c r="I23" s="301" t="str">
        <f t="shared" si="3"/>
        <v>Adjust</v>
      </c>
      <c r="J23" s="261"/>
      <c r="K23" s="261"/>
      <c r="L23" s="261"/>
      <c r="M23" s="261"/>
      <c r="N23" s="271"/>
      <c r="O23" s="261"/>
      <c r="Q23" s="318" t="s">
        <v>25</v>
      </c>
      <c r="R23" s="319">
        <f>SUM(R14:R16)</f>
        <v>0.99</v>
      </c>
      <c r="T23" s="319">
        <f>SUM(T14:T16)</f>
        <v>0.85503376691362243</v>
      </c>
      <c r="AG23" s="308" t="s">
        <v>139</v>
      </c>
      <c r="AH23" s="309" t="s">
        <v>133</v>
      </c>
    </row>
    <row r="24" spans="1:34" ht="13.5" customHeight="1" thickBot="1" x14ac:dyDescent="0.3">
      <c r="A24" s="119"/>
      <c r="B24" s="257"/>
      <c r="C24" s="121"/>
      <c r="D24" s="121"/>
      <c r="G24" s="301" t="str">
        <f t="shared" si="0"/>
        <v>Adjust</v>
      </c>
      <c r="H24" s="104"/>
      <c r="I24" s="301" t="str">
        <f t="shared" si="3"/>
        <v>Adjust</v>
      </c>
      <c r="J24" s="261"/>
      <c r="K24" s="261"/>
      <c r="L24" s="261"/>
      <c r="M24" s="261"/>
      <c r="N24" s="271"/>
      <c r="O24" s="261"/>
      <c r="Q24" s="318" t="s">
        <v>23</v>
      </c>
      <c r="R24" s="319">
        <f>SUM(R17:R19)</f>
        <v>0.01</v>
      </c>
      <c r="T24" s="319">
        <f>SUM(T17:T19)</f>
        <v>0.14496623308637763</v>
      </c>
      <c r="AG24" s="308" t="s">
        <v>140</v>
      </c>
      <c r="AH24" s="309" t="s">
        <v>134</v>
      </c>
    </row>
    <row r="25" spans="1:34" ht="13.5" customHeight="1" thickBot="1" x14ac:dyDescent="0.25">
      <c r="A25" s="119"/>
      <c r="B25" s="120"/>
      <c r="C25" s="121"/>
      <c r="D25" s="121"/>
      <c r="G25" s="301" t="str">
        <f t="shared" si="0"/>
        <v>Adjust</v>
      </c>
      <c r="H25" s="104"/>
      <c r="I25" s="301" t="str">
        <f t="shared" si="3"/>
        <v>Adjust</v>
      </c>
      <c r="J25" s="261"/>
      <c r="K25" s="261"/>
      <c r="L25" s="261"/>
      <c r="M25" s="261"/>
      <c r="N25" s="271"/>
      <c r="O25" s="261"/>
      <c r="Q25" s="318"/>
      <c r="AG25" s="308" t="s">
        <v>134</v>
      </c>
      <c r="AH25" s="309" t="s">
        <v>134</v>
      </c>
    </row>
    <row r="26" spans="1:34" ht="13.5" customHeight="1" thickBot="1" x14ac:dyDescent="0.25">
      <c r="A26" s="119"/>
      <c r="B26" s="120"/>
      <c r="C26" s="121"/>
      <c r="D26" s="121"/>
      <c r="G26" s="301" t="str">
        <f t="shared" si="0"/>
        <v>Adjust</v>
      </c>
      <c r="H26" s="104"/>
      <c r="I26" s="301" t="str">
        <f t="shared" si="3"/>
        <v>Adjust</v>
      </c>
      <c r="J26" s="261"/>
      <c r="K26" s="261"/>
      <c r="L26" s="261"/>
      <c r="M26" s="261"/>
      <c r="N26" s="271"/>
      <c r="O26" s="261"/>
      <c r="Q26" s="318"/>
      <c r="AG26" s="308" t="s">
        <v>181</v>
      </c>
      <c r="AH26" s="309" t="s">
        <v>1</v>
      </c>
    </row>
    <row r="27" spans="1:34" ht="13.5" customHeight="1" thickBot="1" x14ac:dyDescent="0.25">
      <c r="A27" s="258"/>
      <c r="B27" s="259"/>
      <c r="C27" s="260"/>
      <c r="D27" s="260"/>
      <c r="G27" s="301" t="str">
        <f t="shared" si="0"/>
        <v>Adjust</v>
      </c>
      <c r="H27" s="104"/>
      <c r="I27" s="301" t="str">
        <f t="shared" si="3"/>
        <v>Adjust</v>
      </c>
      <c r="J27" s="261"/>
      <c r="K27" s="261"/>
      <c r="L27" s="261"/>
      <c r="M27" s="261"/>
      <c r="N27" s="271"/>
      <c r="O27" s="261"/>
      <c r="Q27" s="318"/>
      <c r="T27" s="320">
        <f>T14</f>
        <v>0.57106978386741092</v>
      </c>
      <c r="AG27" s="308" t="s">
        <v>195</v>
      </c>
      <c r="AH27" s="309" t="s">
        <v>132</v>
      </c>
    </row>
    <row r="28" spans="1:34" ht="13.5" customHeight="1" thickBot="1" x14ac:dyDescent="0.25">
      <c r="A28" s="119"/>
      <c r="B28" s="120"/>
      <c r="C28" s="121"/>
      <c r="D28" s="121"/>
      <c r="G28" s="301" t="str">
        <f t="shared" si="0"/>
        <v>Adjust</v>
      </c>
      <c r="H28" s="104"/>
      <c r="I28" s="301" t="str">
        <f t="shared" si="3"/>
        <v>Adjust</v>
      </c>
      <c r="J28" s="261"/>
      <c r="K28" s="261"/>
      <c r="L28" s="261"/>
      <c r="M28" s="261"/>
      <c r="N28" s="271"/>
      <c r="O28" s="261"/>
      <c r="Q28" s="318"/>
      <c r="R28" s="283" t="s">
        <v>211</v>
      </c>
      <c r="T28" s="320">
        <f>B4</f>
        <v>0.55000000000000004</v>
      </c>
      <c r="AG28" s="321"/>
      <c r="AH28" s="322"/>
    </row>
    <row r="29" spans="1:34" x14ac:dyDescent="0.2">
      <c r="J29" s="261"/>
      <c r="K29" s="261"/>
      <c r="L29" s="261"/>
      <c r="M29" s="261"/>
      <c r="N29" s="271"/>
      <c r="O29" s="261"/>
      <c r="R29" s="283" t="s">
        <v>212</v>
      </c>
      <c r="S29" s="283" t="s">
        <v>213</v>
      </c>
    </row>
    <row r="30" spans="1:34" ht="12.75" customHeight="1" x14ac:dyDescent="0.2">
      <c r="A30" s="271"/>
      <c r="B30" s="271"/>
      <c r="C30" s="271"/>
      <c r="D30" s="271"/>
      <c r="E30" s="271"/>
      <c r="F30" s="271"/>
      <c r="G30" s="271"/>
      <c r="H30" s="271"/>
      <c r="I30" s="271"/>
      <c r="J30" s="271"/>
      <c r="K30" s="271"/>
      <c r="L30" s="271"/>
      <c r="M30" s="271"/>
      <c r="N30" s="271"/>
      <c r="O30" s="261"/>
      <c r="Q30" s="279" t="s">
        <v>2</v>
      </c>
      <c r="R30" s="268" t="str">
        <f t="shared" ref="R30:R35" si="12">IF(T14&lt;B4,"Under","OK")</f>
        <v>OK</v>
      </c>
      <c r="S30" s="268" t="str">
        <f t="shared" ref="S30:S35" si="13">IF(OR(D4="",D4=0),"OK",IF(T14&gt;D4,"Over","OK"))</f>
        <v>OK</v>
      </c>
    </row>
    <row r="31" spans="1:34" x14ac:dyDescent="0.2">
      <c r="A31" s="261"/>
      <c r="B31" s="261"/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261"/>
      <c r="O31" s="261"/>
      <c r="Q31" s="279" t="s">
        <v>138</v>
      </c>
      <c r="R31" s="268" t="str">
        <f t="shared" si="12"/>
        <v>OK</v>
      </c>
      <c r="S31" s="268" t="str">
        <f t="shared" si="13"/>
        <v>OK</v>
      </c>
    </row>
    <row r="32" spans="1:34" x14ac:dyDescent="0.2">
      <c r="Q32" s="279" t="s">
        <v>134</v>
      </c>
      <c r="R32" s="268" t="str">
        <f t="shared" si="12"/>
        <v>OK</v>
      </c>
      <c r="S32" s="268" t="str">
        <f t="shared" si="13"/>
        <v>OK</v>
      </c>
    </row>
    <row r="33" spans="17:19" x14ac:dyDescent="0.2">
      <c r="Q33" s="279" t="s">
        <v>132</v>
      </c>
      <c r="R33" s="268" t="str">
        <f t="shared" si="12"/>
        <v>OK</v>
      </c>
      <c r="S33" s="268" t="str">
        <f t="shared" si="13"/>
        <v>OK</v>
      </c>
    </row>
    <row r="34" spans="17:19" ht="12.75" customHeight="1" x14ac:dyDescent="0.2">
      <c r="Q34" s="279" t="s">
        <v>133</v>
      </c>
      <c r="R34" s="268" t="str">
        <f t="shared" si="12"/>
        <v>OK</v>
      </c>
      <c r="S34" s="268" t="str">
        <f t="shared" si="13"/>
        <v>OK</v>
      </c>
    </row>
    <row r="35" spans="17:19" ht="12.75" customHeight="1" x14ac:dyDescent="0.2">
      <c r="Q35" s="279" t="s">
        <v>1</v>
      </c>
      <c r="R35" s="268" t="str">
        <f t="shared" si="12"/>
        <v>OK</v>
      </c>
      <c r="S35" s="268" t="str">
        <f t="shared" si="13"/>
        <v>Over</v>
      </c>
    </row>
  </sheetData>
  <phoneticPr fontId="2" type="noConversion"/>
  <conditionalFormatting sqref="C2">
    <cfRule type="cellIs" dxfId="32" priority="1" operator="equal">
      <formula>1</formula>
    </cfRule>
  </conditionalFormatting>
  <dataValidations count="2">
    <dataValidation type="list" allowBlank="1" showInputMessage="1" showErrorMessage="1" sqref="H14:H28">
      <formula1>$Q$3:$Q$9</formula1>
    </dataValidation>
    <dataValidation type="list" allowBlank="1" showInputMessage="1" showErrorMessage="1" sqref="B2">
      <formula1>$W$4:$W$9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16" r:id="rId4" name="Button 240">
              <controlPr defaultSize="0" print="0" autoFill="0" autoPict="0" macro="[0]!Clear_AAData">
                <anchor moveWithCells="1" sizeWithCells="1">
                  <from>
                    <xdr:col>0</xdr:col>
                    <xdr:colOff>228600</xdr:colOff>
                    <xdr:row>0</xdr:row>
                    <xdr:rowOff>123825</xdr:rowOff>
                  </from>
                  <to>
                    <xdr:col>0</xdr:col>
                    <xdr:colOff>1447800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0" r:id="rId5" name="Button 244">
              <controlPr defaultSize="0" print="0" autoFill="0" autoPict="0" macro="[0]!Clear_CurrPortData">
                <anchor moveWithCells="1" sizeWithCells="1">
                  <from>
                    <xdr:col>0</xdr:col>
                    <xdr:colOff>1590675</xdr:colOff>
                    <xdr:row>0</xdr:row>
                    <xdr:rowOff>114300</xdr:rowOff>
                  </from>
                  <to>
                    <xdr:col>2</xdr:col>
                    <xdr:colOff>133350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7" r:id="rId6" name="Button 281">
              <controlPr defaultSize="0" print="0" autoFill="0" autoPict="0" macro="[0]!Copy_AvCNEW">
                <anchor moveWithCells="1" sizeWithCells="1">
                  <from>
                    <xdr:col>2</xdr:col>
                    <xdr:colOff>533400</xdr:colOff>
                    <xdr:row>0</xdr:row>
                    <xdr:rowOff>66675</xdr:rowOff>
                  </from>
                  <to>
                    <xdr:col>4</xdr:col>
                    <xdr:colOff>247650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indexed="43"/>
  </sheetPr>
  <dimension ref="A10:T43"/>
  <sheetViews>
    <sheetView showGridLines="0" tabSelected="1" topLeftCell="A19" workbookViewId="0">
      <selection activeCell="N23" sqref="N23"/>
    </sheetView>
  </sheetViews>
  <sheetFormatPr defaultRowHeight="12.75" x14ac:dyDescent="0.2"/>
  <cols>
    <col min="1" max="1" width="19.85546875" customWidth="1"/>
    <col min="2" max="2" width="2.7109375" customWidth="1"/>
    <col min="3" max="3" width="7.7109375" customWidth="1"/>
    <col min="4" max="4" width="14.7109375" customWidth="1"/>
    <col min="5" max="5" width="7.7109375" customWidth="1"/>
    <col min="6" max="6" width="14.7109375" customWidth="1"/>
    <col min="7" max="7" width="8.42578125" customWidth="1"/>
    <col min="8" max="8" width="14.7109375" customWidth="1"/>
    <col min="9" max="9" width="15.42578125" customWidth="1"/>
    <col min="10" max="10" width="16.42578125" customWidth="1"/>
    <col min="11" max="11" width="16.140625" customWidth="1"/>
    <col min="12" max="12" width="10.28515625" bestFit="1" customWidth="1"/>
  </cols>
  <sheetData>
    <row r="10" spans="12:12" x14ac:dyDescent="0.2">
      <c r="L10" s="4" t="s">
        <v>130</v>
      </c>
    </row>
    <row r="23" spans="1:20" ht="13.5" thickBot="1" x14ac:dyDescent="0.25"/>
    <row r="24" spans="1:20" ht="13.5" x14ac:dyDescent="0.25">
      <c r="A24" s="123" t="s">
        <v>85</v>
      </c>
      <c r="B24" s="69"/>
      <c r="C24" s="336" t="s">
        <v>87</v>
      </c>
      <c r="D24" s="337"/>
      <c r="E24" s="338" t="s">
        <v>88</v>
      </c>
      <c r="F24" s="338"/>
      <c r="G24" s="336" t="s">
        <v>91</v>
      </c>
      <c r="H24" s="337"/>
      <c r="I24" s="124" t="s">
        <v>180</v>
      </c>
      <c r="J24" s="145" t="s">
        <v>203</v>
      </c>
      <c r="K24" s="146">
        <f>SUM(K26:K33)</f>
        <v>0</v>
      </c>
    </row>
    <row r="25" spans="1:20" ht="13.5" x14ac:dyDescent="0.25">
      <c r="A25" s="83"/>
      <c r="B25" s="84"/>
      <c r="C25" s="83"/>
      <c r="D25" s="125"/>
      <c r="E25" s="84"/>
      <c r="F25" s="84"/>
      <c r="G25" s="83"/>
      <c r="H25" s="125"/>
      <c r="I25" s="141" t="s">
        <v>210</v>
      </c>
      <c r="J25" s="147" t="s">
        <v>204</v>
      </c>
      <c r="K25" s="148" t="s">
        <v>261</v>
      </c>
      <c r="P25" s="108" t="s">
        <v>142</v>
      </c>
      <c r="Q25" s="108" t="s">
        <v>143</v>
      </c>
    </row>
    <row r="26" spans="1:20" ht="13.5" x14ac:dyDescent="0.25">
      <c r="A26" s="126" t="str">
        <f>'AA Workings'!A4</f>
        <v>Australian Equities</v>
      </c>
      <c r="B26" s="127"/>
      <c r="C26" s="155">
        <f>'AA Workings'!R14</f>
        <v>0.64</v>
      </c>
      <c r="D26" s="128">
        <f>'AA Workings'!S14</f>
        <v>2872149.2607999998</v>
      </c>
      <c r="E26" s="129">
        <f>'AA Workings'!T14</f>
        <v>0.57106978386741092</v>
      </c>
      <c r="F26" s="128">
        <f>'AA Workings'!U14</f>
        <v>2562808.84</v>
      </c>
      <c r="G26" s="130">
        <f>E26-C26</f>
        <v>-6.8930216132589095E-2</v>
      </c>
      <c r="H26" s="128">
        <f>F26-D26</f>
        <v>-309340.42079999996</v>
      </c>
      <c r="I26" s="142">
        <f>($F$35+$K$24)*R26</f>
        <v>3365799.915</v>
      </c>
      <c r="J26" s="149">
        <f>'AA Workings'!X14</f>
        <v>2872149.2607999998</v>
      </c>
      <c r="K26" s="150">
        <f>'AA Workings'!Y14</f>
        <v>309340.42079999996</v>
      </c>
      <c r="M26" t="str">
        <f>'AA Workings'!P14</f>
        <v>OK</v>
      </c>
      <c r="N26" s="8" t="str">
        <f t="shared" ref="N26:N33" si="0">IF(ABS(G26)&gt;0.1,"Adjust","OK")</f>
        <v>OK</v>
      </c>
      <c r="P26" s="17" t="str">
        <f>'AA Workings'!R30</f>
        <v>OK</v>
      </c>
      <c r="Q26" s="17">
        <f>'AA Workings'!W22</f>
        <v>0</v>
      </c>
      <c r="R26" s="57">
        <f>'AA Workings'!D4</f>
        <v>0.75</v>
      </c>
      <c r="S26" s="57">
        <f>'AA Workings'!B4</f>
        <v>0.55000000000000004</v>
      </c>
      <c r="T26" s="57">
        <f>'AA Workings'!C4</f>
        <v>0.64</v>
      </c>
    </row>
    <row r="27" spans="1:20" ht="13.5" x14ac:dyDescent="0.25">
      <c r="A27" s="131" t="str">
        <f>'AA Workings'!A5</f>
        <v>International Equities</v>
      </c>
      <c r="B27" s="132"/>
      <c r="C27" s="133">
        <f>'AA Workings'!R15</f>
        <v>0.25</v>
      </c>
      <c r="D27" s="134">
        <f>'AA Workings'!S15</f>
        <v>1121933.3049999999</v>
      </c>
      <c r="E27" s="135">
        <f>'AA Workings'!T15</f>
        <v>0.22772393988250489</v>
      </c>
      <c r="F27" s="134">
        <f>'AA Workings'!U15</f>
        <v>1021964.29</v>
      </c>
      <c r="G27" s="136">
        <f t="shared" ref="G27:H33" si="1">E27-C27</f>
        <v>-2.2276060117495111E-2</v>
      </c>
      <c r="H27" s="134">
        <f t="shared" si="1"/>
        <v>-99969.014999999898</v>
      </c>
      <c r="I27" s="143">
        <f t="shared" ref="I27:I28" si="2">($F$35+$K$24)*R27</f>
        <v>1570706.6269999999</v>
      </c>
      <c r="J27" s="151">
        <f>'AA Workings'!X15</f>
        <v>1121933.3049999999</v>
      </c>
      <c r="K27" s="152">
        <f>'AA Workings'!Y15</f>
        <v>99969.014999999898</v>
      </c>
      <c r="M27" t="str">
        <f>'AA Workings'!P15</f>
        <v>OK</v>
      </c>
      <c r="N27" s="8" t="str">
        <f t="shared" si="0"/>
        <v>OK</v>
      </c>
      <c r="P27" s="17" t="str">
        <f>'AA Workings'!R31</f>
        <v>OK</v>
      </c>
      <c r="Q27" s="17">
        <f>'AA Workings'!W23</f>
        <v>0</v>
      </c>
      <c r="R27" s="57">
        <f>'AA Workings'!D5</f>
        <v>0.35</v>
      </c>
      <c r="S27" s="57">
        <f>'AA Workings'!B5</f>
        <v>0.15</v>
      </c>
      <c r="T27" s="57">
        <f>'AA Workings'!C5</f>
        <v>0.25</v>
      </c>
    </row>
    <row r="28" spans="1:20" ht="14.25" thickBot="1" x14ac:dyDescent="0.3">
      <c r="A28" s="156" t="str">
        <f>'AA Workings'!A6</f>
        <v>Property</v>
      </c>
      <c r="B28" s="157"/>
      <c r="C28" s="158">
        <f>'AA Workings'!R16</f>
        <v>0.1</v>
      </c>
      <c r="D28" s="159">
        <f>'AA Workings'!S16</f>
        <v>448773.32199999999</v>
      </c>
      <c r="E28" s="160">
        <f>'AA Workings'!T16</f>
        <v>5.62400431637066E-2</v>
      </c>
      <c r="F28" s="159">
        <f>'AA Workings'!U16</f>
        <v>252390.31</v>
      </c>
      <c r="G28" s="161">
        <f t="shared" si="1"/>
        <v>-4.3759956836293405E-2</v>
      </c>
      <c r="H28" s="159">
        <f t="shared" si="1"/>
        <v>-196383.01199999999</v>
      </c>
      <c r="I28" s="162">
        <f t="shared" si="2"/>
        <v>897546.64399999997</v>
      </c>
      <c r="J28" s="172">
        <f>'AA Workings'!X16</f>
        <v>448773.32199999999</v>
      </c>
      <c r="K28" s="173">
        <f>'AA Workings'!Y16</f>
        <v>196383.01199999999</v>
      </c>
      <c r="M28" t="str">
        <f>'AA Workings'!P16</f>
        <v>OK</v>
      </c>
      <c r="N28" s="8" t="str">
        <f t="shared" si="0"/>
        <v>OK</v>
      </c>
      <c r="P28" s="17" t="str">
        <f>'AA Workings'!R32</f>
        <v>OK</v>
      </c>
      <c r="Q28" s="17">
        <f>'AA Workings'!W24</f>
        <v>0</v>
      </c>
      <c r="R28" s="57">
        <f>'AA Workings'!D6</f>
        <v>0.2</v>
      </c>
      <c r="S28" s="57">
        <f>'AA Workings'!B6</f>
        <v>0</v>
      </c>
      <c r="T28" s="57">
        <f>'AA Workings'!C6</f>
        <v>0.1</v>
      </c>
    </row>
    <row r="29" spans="1:20" ht="14.25" thickBot="1" x14ac:dyDescent="0.3">
      <c r="A29" s="174" t="s">
        <v>25</v>
      </c>
      <c r="B29" s="175"/>
      <c r="C29" s="176">
        <f t="shared" ref="C29:H29" si="3">SUM(C26:C28)</f>
        <v>0.99</v>
      </c>
      <c r="D29" s="177">
        <f t="shared" si="3"/>
        <v>4442855.8877999997</v>
      </c>
      <c r="E29" s="176">
        <f t="shared" si="3"/>
        <v>0.85503376691362243</v>
      </c>
      <c r="F29" s="177">
        <f t="shared" si="3"/>
        <v>3837163.44</v>
      </c>
      <c r="G29" s="178">
        <f t="shared" si="3"/>
        <v>-0.13496623308637762</v>
      </c>
      <c r="H29" s="177">
        <f t="shared" si="3"/>
        <v>-605692.44779999985</v>
      </c>
      <c r="I29" s="179"/>
      <c r="J29" s="171"/>
      <c r="K29" s="171"/>
      <c r="N29" s="8" t="str">
        <f>IF(ABS(G29)&gt;0.1,"Adjust","OK")</f>
        <v>Adjust</v>
      </c>
      <c r="P29" s="17"/>
      <c r="Q29" s="17">
        <f>'AA Workings'!W25</f>
        <v>0</v>
      </c>
      <c r="R29" s="57">
        <f>'AA Workings'!D7</f>
        <v>0</v>
      </c>
      <c r="S29" s="57">
        <f>'AA Workings'!B7</f>
        <v>0</v>
      </c>
      <c r="T29" s="57">
        <f>'AA Workings'!C7</f>
        <v>0</v>
      </c>
    </row>
    <row r="30" spans="1:20" ht="13.5" x14ac:dyDescent="0.25">
      <c r="A30" s="85"/>
      <c r="B30" s="84"/>
      <c r="C30" s="185"/>
      <c r="D30" s="186"/>
      <c r="E30" s="185"/>
      <c r="F30" s="186"/>
      <c r="G30" s="187"/>
      <c r="H30" s="186"/>
      <c r="I30" s="186"/>
      <c r="J30" s="186"/>
      <c r="K30" s="188"/>
      <c r="N30" s="8"/>
      <c r="P30" s="17"/>
      <c r="Q30" s="17">
        <f>'AA Workings'!W26</f>
        <v>0</v>
      </c>
      <c r="R30" s="57">
        <f>'AA Workings'!D8</f>
        <v>0.1</v>
      </c>
      <c r="S30" s="57">
        <f>'AA Workings'!B8</f>
        <v>0</v>
      </c>
      <c r="T30" s="57">
        <f>'AA Workings'!C8</f>
        <v>0</v>
      </c>
    </row>
    <row r="31" spans="1:20" ht="13.5" x14ac:dyDescent="0.25">
      <c r="A31" s="163" t="str">
        <f>'AA Workings'!A7</f>
        <v>Alternative Income</v>
      </c>
      <c r="B31" s="164"/>
      <c r="C31" s="165">
        <f>'AA Workings'!R17</f>
        <v>0</v>
      </c>
      <c r="D31" s="166">
        <f>'AA Workings'!S17</f>
        <v>0</v>
      </c>
      <c r="E31" s="167">
        <f>'AA Workings'!T17</f>
        <v>0</v>
      </c>
      <c r="F31" s="166">
        <f>'AA Workings'!U17</f>
        <v>0</v>
      </c>
      <c r="G31" s="168">
        <f t="shared" si="1"/>
        <v>0</v>
      </c>
      <c r="H31" s="166">
        <f t="shared" si="1"/>
        <v>0</v>
      </c>
      <c r="I31" s="142">
        <f>($F$35+$K$24)*R29</f>
        <v>0</v>
      </c>
      <c r="J31" s="169">
        <f>'AA Workings'!X17</f>
        <v>0</v>
      </c>
      <c r="K31" s="170">
        <f>'AA Workings'!Y17</f>
        <v>0</v>
      </c>
      <c r="M31" t="str">
        <f>'AA Workings'!P17</f>
        <v>OK</v>
      </c>
      <c r="N31" s="8" t="str">
        <f t="shared" si="0"/>
        <v>OK</v>
      </c>
      <c r="P31" s="17" t="str">
        <f>'AA Workings'!R33</f>
        <v>OK</v>
      </c>
      <c r="Q31" s="17">
        <f>'AA Workings'!W27</f>
        <v>0</v>
      </c>
      <c r="R31" s="57">
        <f>'AA Workings'!D9</f>
        <v>0.1</v>
      </c>
      <c r="S31" s="57">
        <f>'AA Workings'!B9</f>
        <v>0</v>
      </c>
      <c r="T31" s="57">
        <f>'AA Workings'!C9</f>
        <v>0.01</v>
      </c>
    </row>
    <row r="32" spans="1:20" ht="13.5" x14ac:dyDescent="0.25">
      <c r="A32" s="131" t="str">
        <f>'AA Workings'!A8</f>
        <v xml:space="preserve">Fixed Interest </v>
      </c>
      <c r="B32" s="132"/>
      <c r="C32" s="133">
        <f>'AA Workings'!R18</f>
        <v>0</v>
      </c>
      <c r="D32" s="134">
        <f>'AA Workings'!S18</f>
        <v>0</v>
      </c>
      <c r="E32" s="135">
        <f>'AA Workings'!T18</f>
        <v>0</v>
      </c>
      <c r="F32" s="134">
        <f>'AA Workings'!U18</f>
        <v>0</v>
      </c>
      <c r="G32" s="136">
        <f t="shared" si="1"/>
        <v>0</v>
      </c>
      <c r="H32" s="134">
        <f t="shared" si="1"/>
        <v>0</v>
      </c>
      <c r="I32" s="143">
        <f t="shared" ref="I32:I33" si="4">($F$35+$K$24)*R30</f>
        <v>448773.32199999999</v>
      </c>
      <c r="J32" s="151">
        <f>'AA Workings'!X18</f>
        <v>0</v>
      </c>
      <c r="K32" s="152">
        <f>'AA Workings'!Y18</f>
        <v>0</v>
      </c>
      <c r="M32" t="str">
        <f>'AA Workings'!P18</f>
        <v>OK</v>
      </c>
      <c r="N32" s="8" t="str">
        <f t="shared" si="0"/>
        <v>OK</v>
      </c>
      <c r="P32" s="17" t="str">
        <f>'AA Workings'!R34</f>
        <v>OK</v>
      </c>
    </row>
    <row r="33" spans="1:16" ht="14.25" thickBot="1" x14ac:dyDescent="0.3">
      <c r="A33" s="156" t="str">
        <f>'AA Workings'!A9</f>
        <v>Cash</v>
      </c>
      <c r="B33" s="157"/>
      <c r="C33" s="158">
        <f>'AA Workings'!R19</f>
        <v>0.01</v>
      </c>
      <c r="D33" s="159">
        <f>'AA Workings'!S19</f>
        <v>44877.332199999997</v>
      </c>
      <c r="E33" s="160">
        <f>'AA Workings'!T19</f>
        <v>0.14496623308637763</v>
      </c>
      <c r="F33" s="159">
        <f>'AA Workings'!U19</f>
        <v>650569.78</v>
      </c>
      <c r="G33" s="161">
        <f t="shared" si="1"/>
        <v>0.13496623308637762</v>
      </c>
      <c r="H33" s="159">
        <f t="shared" si="1"/>
        <v>605692.44780000008</v>
      </c>
      <c r="I33" s="144">
        <f t="shared" si="4"/>
        <v>448773.32199999999</v>
      </c>
      <c r="J33" s="153">
        <f>'AA Workings'!X19</f>
        <v>44877.332199999997</v>
      </c>
      <c r="K33" s="154">
        <f>'AA Workings'!Y19</f>
        <v>-605692.44780000008</v>
      </c>
      <c r="M33" t="str">
        <f>'AA Workings'!P19</f>
        <v>Over</v>
      </c>
      <c r="N33" s="8" t="str">
        <f t="shared" si="0"/>
        <v>Adjust</v>
      </c>
      <c r="P33" s="17" t="str">
        <f>'AA Workings'!R35</f>
        <v>OK</v>
      </c>
    </row>
    <row r="34" spans="1:16" ht="14.25" thickBot="1" x14ac:dyDescent="0.3">
      <c r="A34" s="174" t="s">
        <v>23</v>
      </c>
      <c r="B34" s="180"/>
      <c r="C34" s="181">
        <f t="shared" ref="C34:H34" si="5">SUM(C31:C33)</f>
        <v>0.01</v>
      </c>
      <c r="D34" s="182">
        <f t="shared" si="5"/>
        <v>44877.332199999997</v>
      </c>
      <c r="E34" s="181">
        <f t="shared" si="5"/>
        <v>0.14496623308637763</v>
      </c>
      <c r="F34" s="182">
        <f t="shared" si="5"/>
        <v>650569.78</v>
      </c>
      <c r="G34" s="183">
        <f t="shared" si="5"/>
        <v>0.13496623308637762</v>
      </c>
      <c r="H34" s="184">
        <f t="shared" si="5"/>
        <v>605692.44780000008</v>
      </c>
      <c r="I34" s="4"/>
      <c r="J34" s="326"/>
      <c r="K34" s="4"/>
      <c r="N34" s="8" t="str">
        <f>IF(ABS(G34)&gt;0.1,"Adjust","OK")</f>
        <v>Adjust</v>
      </c>
    </row>
    <row r="35" spans="1:16" ht="14.25" thickBot="1" x14ac:dyDescent="0.3">
      <c r="A35" s="191"/>
      <c r="B35" s="191"/>
      <c r="C35" s="192"/>
      <c r="D35" s="193">
        <f>D29+D34</f>
        <v>4487733.22</v>
      </c>
      <c r="E35" s="192"/>
      <c r="F35" s="193">
        <f>F29+F34</f>
        <v>4487733.22</v>
      </c>
      <c r="G35" s="194"/>
      <c r="H35" s="193"/>
      <c r="I35" s="4"/>
      <c r="J35" s="325">
        <f>SUM(J26:J33)</f>
        <v>4487733.22</v>
      </c>
      <c r="K35" s="327" t="s">
        <v>262</v>
      </c>
      <c r="N35" s="8"/>
    </row>
    <row r="37" spans="1:16" x14ac:dyDescent="0.2">
      <c r="A37" s="346" t="s">
        <v>221</v>
      </c>
      <c r="B37" s="346"/>
      <c r="C37" s="346"/>
      <c r="D37" s="346"/>
      <c r="E37" s="346"/>
      <c r="F37" s="345" t="s">
        <v>220</v>
      </c>
      <c r="G37" s="345"/>
      <c r="H37" s="345"/>
      <c r="I37" s="345"/>
      <c r="J37" s="339" t="s">
        <v>254</v>
      </c>
      <c r="K37" s="339"/>
    </row>
    <row r="38" spans="1:16" ht="13.5" thickBot="1" x14ac:dyDescent="0.25"/>
    <row r="39" spans="1:16" ht="14.25" thickBot="1" x14ac:dyDescent="0.3">
      <c r="A39" s="347" t="s">
        <v>209</v>
      </c>
      <c r="B39" s="348"/>
      <c r="C39" s="253"/>
      <c r="D39" s="340" t="s">
        <v>255</v>
      </c>
      <c r="E39" s="341"/>
      <c r="F39" s="323" t="s">
        <v>251</v>
      </c>
      <c r="G39" s="323" t="s">
        <v>218</v>
      </c>
      <c r="H39" s="324" t="s">
        <v>256</v>
      </c>
      <c r="I39" s="255" t="s">
        <v>251</v>
      </c>
      <c r="J39" s="254" t="s">
        <v>218</v>
      </c>
      <c r="K39" s="342" t="s">
        <v>257</v>
      </c>
    </row>
    <row r="40" spans="1:16" ht="13.5" customHeight="1" x14ac:dyDescent="0.25">
      <c r="A40" s="246">
        <f>'AA Workings'!I1</f>
        <v>23000</v>
      </c>
      <c r="B40" s="247"/>
      <c r="C40" s="248">
        <f>'AA Workings'!J1</f>
        <v>5.1250818336300305E-3</v>
      </c>
      <c r="D40" s="349" t="s">
        <v>240</v>
      </c>
      <c r="E40" s="349"/>
      <c r="F40" s="205">
        <f>Total_Wrap_Admin_Fee</f>
        <v>3358</v>
      </c>
      <c r="G40" s="205">
        <f>'New v Old Wrap'!T19</f>
        <v>6809.7449719199994</v>
      </c>
      <c r="H40" s="234" t="s">
        <v>250</v>
      </c>
      <c r="I40" s="240">
        <f>(F40+$A$40)/$J$35</f>
        <v>5.8733437813400149E-3</v>
      </c>
      <c r="J40" s="241">
        <f>(G40+$A$40)/$J$35</f>
        <v>6.6424948878578841E-3</v>
      </c>
      <c r="K40" s="343"/>
    </row>
    <row r="41" spans="1:16" ht="13.5" x14ac:dyDescent="0.25">
      <c r="A41" s="249" t="s">
        <v>252</v>
      </c>
      <c r="B41" s="16"/>
      <c r="C41" s="220"/>
      <c r="D41" s="350" t="s">
        <v>226</v>
      </c>
      <c r="E41" s="350"/>
      <c r="F41" s="236">
        <f>'New v Old Wrap'!G25</f>
        <v>2120</v>
      </c>
      <c r="G41" s="236">
        <f>'New v Old Wrap'!T26</f>
        <v>2435</v>
      </c>
      <c r="H41" s="237" t="s">
        <v>250</v>
      </c>
      <c r="I41" s="242">
        <f>(F41+$A$40)/$J$35</f>
        <v>5.5974806809037554E-3</v>
      </c>
      <c r="J41" s="243">
        <f>(G41+$A$40)/$J$35</f>
        <v>5.6676720190599926E-3</v>
      </c>
      <c r="K41" s="343"/>
    </row>
    <row r="42" spans="1:16" ht="14.25" thickBot="1" x14ac:dyDescent="0.3">
      <c r="A42" s="250">
        <f>'AA Workings'!H4</f>
        <v>0</v>
      </c>
      <c r="B42" s="352" t="str">
        <f>'New v Old Wrap'!M11</f>
        <v>Too Low</v>
      </c>
      <c r="C42" s="353"/>
      <c r="D42" s="351" t="s">
        <v>227</v>
      </c>
      <c r="E42" s="351"/>
      <c r="F42" s="211">
        <f>'New v Old Wrap'!G30</f>
        <v>2812.4955</v>
      </c>
      <c r="G42" s="211">
        <f>'New v Old Wrap'!T32</f>
        <v>3934.428805</v>
      </c>
      <c r="H42" s="213">
        <f>TRUNC(SUM('New v Old Wrap'!G32:G34),0)*-1</f>
        <v>-1567</v>
      </c>
      <c r="I42" s="244">
        <f>(F42+H42+$A$40)/$J$35</f>
        <v>5.4026151536699417E-3</v>
      </c>
      <c r="J42" s="245">
        <f>(G42+H42+$A$40)/$J$35</f>
        <v>5.6526151536699411E-3</v>
      </c>
      <c r="K42" s="344"/>
    </row>
    <row r="43" spans="1:16" ht="13.5" x14ac:dyDescent="0.25">
      <c r="D43" s="252" t="s">
        <v>258</v>
      </c>
      <c r="E43" s="235"/>
    </row>
  </sheetData>
  <sheetProtection sheet="1" objects="1" scenarios="1"/>
  <mergeCells count="13">
    <mergeCell ref="C24:D24"/>
    <mergeCell ref="E24:F24"/>
    <mergeCell ref="G24:H24"/>
    <mergeCell ref="J37:K37"/>
    <mergeCell ref="D39:E39"/>
    <mergeCell ref="K39:K42"/>
    <mergeCell ref="F37:I37"/>
    <mergeCell ref="A37:E37"/>
    <mergeCell ref="A39:B39"/>
    <mergeCell ref="D40:E40"/>
    <mergeCell ref="D41:E41"/>
    <mergeCell ref="D42:E42"/>
    <mergeCell ref="B42:C42"/>
  </mergeCells>
  <conditionalFormatting sqref="E26">
    <cfRule type="expression" dxfId="31" priority="60" stopIfTrue="1">
      <formula>$M$26="Over"</formula>
    </cfRule>
    <cfRule type="expression" dxfId="30" priority="61" stopIfTrue="1">
      <formula>$M$26="Under"</formula>
    </cfRule>
  </conditionalFormatting>
  <conditionalFormatting sqref="E27">
    <cfRule type="expression" dxfId="29" priority="62" stopIfTrue="1">
      <formula>$M$27="Over"</formula>
    </cfRule>
    <cfRule type="expression" dxfId="28" priority="63" stopIfTrue="1">
      <formula>$M$27="Under"</formula>
    </cfRule>
  </conditionalFormatting>
  <conditionalFormatting sqref="E31">
    <cfRule type="expression" dxfId="27" priority="66" stopIfTrue="1">
      <formula>$M$31="Over"</formula>
    </cfRule>
    <cfRule type="expression" dxfId="26" priority="67" stopIfTrue="1">
      <formula>$M$31="Under"</formula>
    </cfRule>
  </conditionalFormatting>
  <conditionalFormatting sqref="E32">
    <cfRule type="expression" dxfId="25" priority="68" stopIfTrue="1">
      <formula>$M$32="Over"</formula>
    </cfRule>
    <cfRule type="expression" dxfId="24" priority="69" stopIfTrue="1">
      <formula>$M$32="Under"</formula>
    </cfRule>
  </conditionalFormatting>
  <conditionalFormatting sqref="E33">
    <cfRule type="expression" dxfId="23" priority="70" stopIfTrue="1">
      <formula>$M$33="Over"</formula>
    </cfRule>
    <cfRule type="expression" dxfId="22" priority="71" stopIfTrue="1">
      <formula>$M$33="Under"</formula>
    </cfRule>
  </conditionalFormatting>
  <conditionalFormatting sqref="G26:G35">
    <cfRule type="expression" dxfId="21" priority="72" stopIfTrue="1">
      <formula>$N26="Adjust"</formula>
    </cfRule>
  </conditionalFormatting>
  <conditionalFormatting sqref="K24">
    <cfRule type="expression" dxfId="20" priority="5">
      <formula>$K$24&lt;0</formula>
    </cfRule>
  </conditionalFormatting>
  <conditionalFormatting sqref="A42:C42">
    <cfRule type="expression" dxfId="19" priority="1">
      <formula>$B$42="Too Low"</formula>
    </cfRule>
  </conditionalFormatting>
  <conditionalFormatting sqref="E26:E28">
    <cfRule type="expression" dxfId="18" priority="64" stopIfTrue="1">
      <formula>$M$28="Over"</formula>
    </cfRule>
    <cfRule type="expression" dxfId="17" priority="65" stopIfTrue="1">
      <formula>$M$28="Under"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Copy_AvCNEW">
                <anchor moveWithCells="1" sizeWithCells="1">
                  <from>
                    <xdr:col>11</xdr:col>
                    <xdr:colOff>66675</xdr:colOff>
                    <xdr:row>4</xdr:row>
                    <xdr:rowOff>38100</xdr:rowOff>
                  </from>
                  <to>
                    <xdr:col>13</xdr:col>
                    <xdr:colOff>304800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5" name="Button 3">
              <controlPr defaultSize="0" print="0" autoFill="0" autoPict="0" macro="[0]!Copy_AvCNEW_ONLY">
                <anchor moveWithCells="1" sizeWithCells="1">
                  <from>
                    <xdr:col>11</xdr:col>
                    <xdr:colOff>66675</xdr:colOff>
                    <xdr:row>12</xdr:row>
                    <xdr:rowOff>38100</xdr:rowOff>
                  </from>
                  <to>
                    <xdr:col>13</xdr:col>
                    <xdr:colOff>304800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 tint="0.39997558519241921"/>
  </sheetPr>
  <dimension ref="A10:T48"/>
  <sheetViews>
    <sheetView showGridLines="0" workbookViewId="0">
      <selection activeCell="J20" sqref="J20"/>
    </sheetView>
  </sheetViews>
  <sheetFormatPr defaultRowHeight="12.75" x14ac:dyDescent="0.2"/>
  <cols>
    <col min="1" max="1" width="19.85546875" customWidth="1"/>
    <col min="2" max="2" width="2.7109375" customWidth="1"/>
    <col min="3" max="3" width="7.7109375" customWidth="1"/>
    <col min="4" max="4" width="14.7109375" customWidth="1"/>
    <col min="5" max="5" width="7.7109375" customWidth="1"/>
    <col min="6" max="6" width="14.7109375" customWidth="1"/>
    <col min="7" max="7" width="8.42578125" customWidth="1"/>
    <col min="8" max="8" width="14.7109375" customWidth="1"/>
    <col min="9" max="9" width="15.42578125" customWidth="1"/>
    <col min="10" max="10" width="16.42578125" customWidth="1"/>
    <col min="11" max="11" width="15.7109375" customWidth="1"/>
    <col min="12" max="12" width="10.28515625" bestFit="1" customWidth="1"/>
  </cols>
  <sheetData>
    <row r="10" spans="12:12" x14ac:dyDescent="0.2">
      <c r="L10" s="4" t="s">
        <v>130</v>
      </c>
    </row>
    <row r="25" spans="1:20" ht="13.5" x14ac:dyDescent="0.25">
      <c r="A25" s="123" t="s">
        <v>85</v>
      </c>
      <c r="B25" s="69"/>
      <c r="C25" s="336" t="s">
        <v>87</v>
      </c>
      <c r="D25" s="337"/>
      <c r="E25" s="338" t="s">
        <v>88</v>
      </c>
      <c r="F25" s="338"/>
      <c r="G25" s="336" t="s">
        <v>91</v>
      </c>
      <c r="H25" s="337"/>
    </row>
    <row r="26" spans="1:20" ht="13.5" x14ac:dyDescent="0.25">
      <c r="A26" s="83"/>
      <c r="B26" s="84"/>
      <c r="C26" s="83"/>
      <c r="D26" s="125"/>
      <c r="E26" s="84"/>
      <c r="F26" s="84"/>
      <c r="G26" s="83"/>
      <c r="H26" s="125"/>
      <c r="P26" s="108" t="s">
        <v>142</v>
      </c>
      <c r="Q26" s="108" t="s">
        <v>143</v>
      </c>
    </row>
    <row r="27" spans="1:20" ht="13.5" x14ac:dyDescent="0.25">
      <c r="A27" s="126" t="str">
        <f>'AA Workings'!A4</f>
        <v>Australian Equities</v>
      </c>
      <c r="B27" s="127"/>
      <c r="C27" s="155">
        <f>'AA Workings'!R14</f>
        <v>0.64</v>
      </c>
      <c r="D27" s="128">
        <f>'AA Workings'!S14</f>
        <v>2872149.2607999998</v>
      </c>
      <c r="E27" s="129">
        <f>'AA Workings'!T14</f>
        <v>0.57106978386741092</v>
      </c>
      <c r="F27" s="128">
        <f>'AA Workings'!U14</f>
        <v>2562808.84</v>
      </c>
      <c r="G27" s="130">
        <f>E27-C27</f>
        <v>-6.8930216132589095E-2</v>
      </c>
      <c r="H27" s="128">
        <f>F27-D27</f>
        <v>-309340.42079999996</v>
      </c>
      <c r="M27" t="str">
        <f>'AA Workings'!P14</f>
        <v>OK</v>
      </c>
      <c r="N27" s="8" t="str">
        <f t="shared" ref="N27:N34" si="0">IF(ABS(G27)&gt;0.1,"Adjust","OK")</f>
        <v>OK</v>
      </c>
      <c r="P27" s="17" t="str">
        <f>'AA Workings'!R30</f>
        <v>OK</v>
      </c>
      <c r="Q27" s="17">
        <f>'AA Workings'!W22</f>
        <v>0</v>
      </c>
      <c r="R27" s="57">
        <f>'AA Workings'!D4</f>
        <v>0.75</v>
      </c>
      <c r="S27" s="57">
        <f>'AA Workings'!B4</f>
        <v>0.55000000000000004</v>
      </c>
      <c r="T27" s="57">
        <f>'AA Workings'!C4</f>
        <v>0.64</v>
      </c>
    </row>
    <row r="28" spans="1:20" ht="13.5" x14ac:dyDescent="0.25">
      <c r="A28" s="131" t="str">
        <f>'AA Workings'!A5</f>
        <v>International Equities</v>
      </c>
      <c r="B28" s="132"/>
      <c r="C28" s="133">
        <f>'AA Workings'!R15</f>
        <v>0.25</v>
      </c>
      <c r="D28" s="134">
        <f>'AA Workings'!S15</f>
        <v>1121933.3049999999</v>
      </c>
      <c r="E28" s="135">
        <f>'AA Workings'!T15</f>
        <v>0.22772393988250489</v>
      </c>
      <c r="F28" s="134">
        <f>'AA Workings'!U15</f>
        <v>1021964.29</v>
      </c>
      <c r="G28" s="136">
        <f t="shared" ref="G28:H34" si="1">E28-C28</f>
        <v>-2.2276060117495111E-2</v>
      </c>
      <c r="H28" s="134">
        <f t="shared" si="1"/>
        <v>-99969.014999999898</v>
      </c>
      <c r="M28" t="str">
        <f>'AA Workings'!P15</f>
        <v>OK</v>
      </c>
      <c r="N28" s="8" t="str">
        <f t="shared" si="0"/>
        <v>OK</v>
      </c>
      <c r="P28" s="17" t="str">
        <f>'AA Workings'!R31</f>
        <v>OK</v>
      </c>
      <c r="Q28" s="17">
        <f>'AA Workings'!W23</f>
        <v>0</v>
      </c>
      <c r="R28" s="57">
        <f>'AA Workings'!D5</f>
        <v>0.35</v>
      </c>
      <c r="S28" s="57">
        <f>'AA Workings'!B5</f>
        <v>0.15</v>
      </c>
      <c r="T28" s="57">
        <f>'AA Workings'!C5</f>
        <v>0.25</v>
      </c>
    </row>
    <row r="29" spans="1:20" ht="14.25" thickBot="1" x14ac:dyDescent="0.3">
      <c r="A29" s="156" t="str">
        <f>'AA Workings'!A6</f>
        <v>Property</v>
      </c>
      <c r="B29" s="157"/>
      <c r="C29" s="158">
        <f>'AA Workings'!R16</f>
        <v>0.1</v>
      </c>
      <c r="D29" s="159">
        <f>'AA Workings'!S16</f>
        <v>448773.32199999999</v>
      </c>
      <c r="E29" s="160">
        <f>'AA Workings'!T16</f>
        <v>5.62400431637066E-2</v>
      </c>
      <c r="F29" s="159">
        <f>'AA Workings'!U16</f>
        <v>252390.31</v>
      </c>
      <c r="G29" s="161">
        <f t="shared" si="1"/>
        <v>-4.3759956836293405E-2</v>
      </c>
      <c r="H29" s="159">
        <f t="shared" si="1"/>
        <v>-196383.01199999999</v>
      </c>
      <c r="M29" t="str">
        <f>'AA Workings'!P16</f>
        <v>OK</v>
      </c>
      <c r="N29" s="8" t="str">
        <f t="shared" si="0"/>
        <v>OK</v>
      </c>
      <c r="P29" s="17" t="str">
        <f>'AA Workings'!R32</f>
        <v>OK</v>
      </c>
      <c r="Q29" s="17">
        <f>'AA Workings'!W24</f>
        <v>0</v>
      </c>
      <c r="R29" s="57">
        <f>'AA Workings'!D6</f>
        <v>0.2</v>
      </c>
      <c r="S29" s="57">
        <f>'AA Workings'!B6</f>
        <v>0</v>
      </c>
      <c r="T29" s="57">
        <f>'AA Workings'!C6</f>
        <v>0.1</v>
      </c>
    </row>
    <row r="30" spans="1:20" ht="14.25" thickBot="1" x14ac:dyDescent="0.3">
      <c r="A30" s="174" t="s">
        <v>25</v>
      </c>
      <c r="B30" s="175"/>
      <c r="C30" s="176">
        <f t="shared" ref="C30:H30" si="2">SUM(C27:C29)</f>
        <v>0.99</v>
      </c>
      <c r="D30" s="177">
        <f t="shared" si="2"/>
        <v>4442855.8877999997</v>
      </c>
      <c r="E30" s="176">
        <f t="shared" si="2"/>
        <v>0.85503376691362243</v>
      </c>
      <c r="F30" s="177">
        <f t="shared" si="2"/>
        <v>3837163.44</v>
      </c>
      <c r="G30" s="178">
        <f t="shared" si="2"/>
        <v>-0.13496623308637762</v>
      </c>
      <c r="H30" s="177">
        <f t="shared" si="2"/>
        <v>-605692.44779999985</v>
      </c>
      <c r="N30" s="8" t="str">
        <f>IF(ABS(G30)&gt;0.1,"Adjust","OK")</f>
        <v>Adjust</v>
      </c>
      <c r="P30" s="17"/>
      <c r="Q30" s="17">
        <f>'AA Workings'!W25</f>
        <v>0</v>
      </c>
      <c r="R30" s="57">
        <f>'AA Workings'!D7</f>
        <v>0</v>
      </c>
      <c r="S30" s="57">
        <f>'AA Workings'!B7</f>
        <v>0</v>
      </c>
      <c r="T30" s="57">
        <f>'AA Workings'!C7</f>
        <v>0</v>
      </c>
    </row>
    <row r="31" spans="1:20" ht="13.5" x14ac:dyDescent="0.25">
      <c r="A31" s="85"/>
      <c r="B31" s="84"/>
      <c r="C31" s="185"/>
      <c r="D31" s="186"/>
      <c r="E31" s="185"/>
      <c r="F31" s="186"/>
      <c r="G31" s="187"/>
      <c r="H31" s="186"/>
      <c r="N31" s="8"/>
      <c r="P31" s="17"/>
      <c r="Q31" s="17">
        <f>'AA Workings'!W26</f>
        <v>0</v>
      </c>
      <c r="R31" s="57">
        <f>'AA Workings'!D8</f>
        <v>0.1</v>
      </c>
      <c r="S31" s="57">
        <f>'AA Workings'!B8</f>
        <v>0</v>
      </c>
      <c r="T31" s="57">
        <f>'AA Workings'!C8</f>
        <v>0</v>
      </c>
    </row>
    <row r="32" spans="1:20" ht="13.5" x14ac:dyDescent="0.25">
      <c r="A32" s="163" t="str">
        <f>'AA Workings'!A7</f>
        <v>Alternative Income</v>
      </c>
      <c r="B32" s="164"/>
      <c r="C32" s="165">
        <f>'AA Workings'!R17</f>
        <v>0</v>
      </c>
      <c r="D32" s="166">
        <f>'AA Workings'!S17</f>
        <v>0</v>
      </c>
      <c r="E32" s="167">
        <f>'AA Workings'!T17</f>
        <v>0</v>
      </c>
      <c r="F32" s="166">
        <f>'AA Workings'!U17</f>
        <v>0</v>
      </c>
      <c r="G32" s="168">
        <f t="shared" si="1"/>
        <v>0</v>
      </c>
      <c r="H32" s="166">
        <f t="shared" si="1"/>
        <v>0</v>
      </c>
      <c r="M32" t="str">
        <f>'AA Workings'!P17</f>
        <v>OK</v>
      </c>
      <c r="N32" s="8" t="str">
        <f t="shared" si="0"/>
        <v>OK</v>
      </c>
      <c r="P32" s="17" t="str">
        <f>'AA Workings'!R33</f>
        <v>OK</v>
      </c>
      <c r="Q32" s="17">
        <f>'AA Workings'!W27</f>
        <v>0</v>
      </c>
      <c r="R32" s="57">
        <f>'AA Workings'!D9</f>
        <v>0.1</v>
      </c>
      <c r="S32" s="57">
        <f>'AA Workings'!B9</f>
        <v>0</v>
      </c>
      <c r="T32" s="57">
        <f>'AA Workings'!C9</f>
        <v>0.01</v>
      </c>
    </row>
    <row r="33" spans="1:16" ht="13.5" x14ac:dyDescent="0.25">
      <c r="A33" s="131" t="str">
        <f>'AA Workings'!A8</f>
        <v xml:space="preserve">Fixed Interest </v>
      </c>
      <c r="B33" s="132"/>
      <c r="C33" s="133">
        <f>'AA Workings'!R18</f>
        <v>0</v>
      </c>
      <c r="D33" s="134">
        <f>'AA Workings'!S18</f>
        <v>0</v>
      </c>
      <c r="E33" s="135">
        <f>'AA Workings'!T18</f>
        <v>0</v>
      </c>
      <c r="F33" s="134">
        <f>'AA Workings'!U18</f>
        <v>0</v>
      </c>
      <c r="G33" s="136">
        <f t="shared" si="1"/>
        <v>0</v>
      </c>
      <c r="H33" s="134">
        <f t="shared" si="1"/>
        <v>0</v>
      </c>
      <c r="M33" t="str">
        <f>'AA Workings'!P18</f>
        <v>OK</v>
      </c>
      <c r="N33" s="8" t="str">
        <f t="shared" si="0"/>
        <v>OK</v>
      </c>
      <c r="P33" s="17" t="str">
        <f>'AA Workings'!R34</f>
        <v>OK</v>
      </c>
    </row>
    <row r="34" spans="1:16" ht="14.25" thickBot="1" x14ac:dyDescent="0.3">
      <c r="A34" s="156" t="str">
        <f>'AA Workings'!A9</f>
        <v>Cash</v>
      </c>
      <c r="B34" s="157"/>
      <c r="C34" s="158">
        <f>'AA Workings'!R19</f>
        <v>0.01</v>
      </c>
      <c r="D34" s="159">
        <f>'AA Workings'!S19</f>
        <v>44877.332199999997</v>
      </c>
      <c r="E34" s="160">
        <f>'AA Workings'!T19</f>
        <v>0.14496623308637763</v>
      </c>
      <c r="F34" s="159">
        <f>'AA Workings'!U19</f>
        <v>650569.78</v>
      </c>
      <c r="G34" s="161">
        <f t="shared" si="1"/>
        <v>0.13496623308637762</v>
      </c>
      <c r="H34" s="159">
        <f t="shared" si="1"/>
        <v>605692.44780000008</v>
      </c>
      <c r="M34" t="str">
        <f>'AA Workings'!P19</f>
        <v>Over</v>
      </c>
      <c r="N34" s="8" t="str">
        <f t="shared" si="0"/>
        <v>Adjust</v>
      </c>
      <c r="P34" s="17" t="str">
        <f>'AA Workings'!R35</f>
        <v>OK</v>
      </c>
    </row>
    <row r="35" spans="1:16" ht="14.25" thickBot="1" x14ac:dyDescent="0.3">
      <c r="A35" s="174" t="s">
        <v>23</v>
      </c>
      <c r="B35" s="180"/>
      <c r="C35" s="181">
        <f t="shared" ref="C35:H35" si="3">SUM(C32:C34)</f>
        <v>0.01</v>
      </c>
      <c r="D35" s="182">
        <f t="shared" si="3"/>
        <v>44877.332199999997</v>
      </c>
      <c r="E35" s="181">
        <f t="shared" si="3"/>
        <v>0.14496623308637763</v>
      </c>
      <c r="F35" s="182">
        <f t="shared" si="3"/>
        <v>650569.78</v>
      </c>
      <c r="G35" s="183">
        <f t="shared" si="3"/>
        <v>0.13496623308637762</v>
      </c>
      <c r="H35" s="184">
        <f t="shared" si="3"/>
        <v>605692.44780000008</v>
      </c>
      <c r="N35" s="8" t="str">
        <f>IF(ABS(G35)&gt;0.1,"Adjust","OK")</f>
        <v>Adjust</v>
      </c>
    </row>
    <row r="36" spans="1:16" ht="14.25" thickBot="1" x14ac:dyDescent="0.3">
      <c r="A36" s="174" t="s">
        <v>129</v>
      </c>
      <c r="B36" s="180"/>
      <c r="C36" s="181">
        <f>C30+C35</f>
        <v>1</v>
      </c>
      <c r="D36" s="182">
        <f>D30+D35</f>
        <v>4487733.22</v>
      </c>
      <c r="E36" s="181">
        <f>E30+E35</f>
        <v>1</v>
      </c>
      <c r="F36" s="182">
        <f>F30+F35</f>
        <v>4487733.22</v>
      </c>
      <c r="G36" s="183"/>
      <c r="H36" s="184"/>
      <c r="N36" s="8"/>
    </row>
    <row r="38" spans="1:16" x14ac:dyDescent="0.2">
      <c r="C38" s="137" t="s">
        <v>221</v>
      </c>
      <c r="D38" s="138"/>
      <c r="E38" s="138"/>
      <c r="F38" s="138"/>
      <c r="G38" s="138"/>
    </row>
    <row r="39" spans="1:16" x14ac:dyDescent="0.2">
      <c r="C39" s="139" t="s">
        <v>220</v>
      </c>
      <c r="D39" s="140"/>
      <c r="E39" s="140"/>
      <c r="F39" s="140"/>
      <c r="G39" s="140"/>
    </row>
    <row r="40" spans="1:16" x14ac:dyDescent="0.2">
      <c r="C40" s="122" t="s">
        <v>198</v>
      </c>
      <c r="D40" s="118"/>
      <c r="E40" s="118"/>
      <c r="F40" s="118"/>
      <c r="G40" s="118"/>
    </row>
    <row r="44" spans="1:16" ht="14.25" thickBot="1" x14ac:dyDescent="0.3">
      <c r="F44" s="193"/>
      <c r="G44" s="194"/>
      <c r="H44" s="193"/>
      <c r="I44" s="4"/>
      <c r="J44" s="354" t="s">
        <v>209</v>
      </c>
      <c r="K44" s="354"/>
    </row>
    <row r="45" spans="1:16" ht="14.25" thickBot="1" x14ac:dyDescent="0.3">
      <c r="J45" s="195">
        <f>'AA Workings'!I1</f>
        <v>23000</v>
      </c>
      <c r="K45" s="196">
        <f>'AA Workings'!J1</f>
        <v>5.1250818336300305E-3</v>
      </c>
    </row>
    <row r="46" spans="1:16" ht="13.5" x14ac:dyDescent="0.25">
      <c r="F46" s="204" t="s">
        <v>205</v>
      </c>
      <c r="G46" s="205" t="str">
        <f>'AA Workings'!G4</f>
        <v>Current Adviser Fee</v>
      </c>
      <c r="H46" s="206" t="s">
        <v>206</v>
      </c>
      <c r="I46" s="207">
        <f>'AA Workings'!L10</f>
        <v>0</v>
      </c>
      <c r="J46" s="355" t="s">
        <v>219</v>
      </c>
      <c r="K46" s="356"/>
    </row>
    <row r="47" spans="1:16" ht="13.5" x14ac:dyDescent="0.25">
      <c r="F47" s="208" t="s">
        <v>207</v>
      </c>
      <c r="G47" s="203">
        <f>'AA Workings'!H4</f>
        <v>0</v>
      </c>
      <c r="H47" s="202" t="s">
        <v>208</v>
      </c>
      <c r="I47" s="209">
        <f>'AA Workings'!M10</f>
        <v>0</v>
      </c>
      <c r="J47" s="200" t="s">
        <v>222</v>
      </c>
      <c r="K47" s="197" t="e">
        <f>(AVERAGE(G46:G48)+J45)/F44</f>
        <v>#DIV/0!</v>
      </c>
    </row>
    <row r="48" spans="1:16" ht="14.25" thickBot="1" x14ac:dyDescent="0.3">
      <c r="F48" s="210" t="s">
        <v>216</v>
      </c>
      <c r="G48" s="211">
        <f>'AA Workings'!J10</f>
        <v>0</v>
      </c>
      <c r="H48" s="212" t="s">
        <v>217</v>
      </c>
      <c r="I48" s="213">
        <f>'AA Workings'!N10</f>
        <v>0</v>
      </c>
      <c r="J48" s="201" t="s">
        <v>218</v>
      </c>
      <c r="K48" s="198" t="e">
        <f>(AVERAGE(I46:I48)+J45)/F44</f>
        <v>#DIV/0!</v>
      </c>
    </row>
  </sheetData>
  <sheetProtection sheet="1" objects="1" scenarios="1"/>
  <mergeCells count="5">
    <mergeCell ref="C25:D25"/>
    <mergeCell ref="E25:F25"/>
    <mergeCell ref="G25:H25"/>
    <mergeCell ref="J44:K44"/>
    <mergeCell ref="J46:K46"/>
  </mergeCells>
  <conditionalFormatting sqref="E27">
    <cfRule type="expression" dxfId="16" priority="5" stopIfTrue="1">
      <formula>$M$27="Over"</formula>
    </cfRule>
    <cfRule type="expression" dxfId="15" priority="6" stopIfTrue="1">
      <formula>$M$27="Under"</formula>
    </cfRule>
  </conditionalFormatting>
  <conditionalFormatting sqref="E28">
    <cfRule type="expression" dxfId="14" priority="7" stopIfTrue="1">
      <formula>$M$28="Over"</formula>
    </cfRule>
    <cfRule type="expression" dxfId="13" priority="8" stopIfTrue="1">
      <formula>$M$28="Under"</formula>
    </cfRule>
  </conditionalFormatting>
  <conditionalFormatting sqref="E29 E31">
    <cfRule type="expression" dxfId="12" priority="9" stopIfTrue="1">
      <formula>$M$29="Over"</formula>
    </cfRule>
    <cfRule type="expression" dxfId="11" priority="10" stopIfTrue="1">
      <formula>$M$29="Under"</formula>
    </cfRule>
  </conditionalFormatting>
  <conditionalFormatting sqref="E32">
    <cfRule type="expression" dxfId="10" priority="11" stopIfTrue="1">
      <formula>$M$32="Over"</formula>
    </cfRule>
    <cfRule type="expression" dxfId="9" priority="12" stopIfTrue="1">
      <formula>$M$32="Under"</formula>
    </cfRule>
  </conditionalFormatting>
  <conditionalFormatting sqref="E33">
    <cfRule type="expression" dxfId="8" priority="13" stopIfTrue="1">
      <formula>$M$33="Over"</formula>
    </cfRule>
    <cfRule type="expression" dxfId="7" priority="14" stopIfTrue="1">
      <formula>$M$33="Under"</formula>
    </cfRule>
  </conditionalFormatting>
  <conditionalFormatting sqref="E34">
    <cfRule type="expression" dxfId="6" priority="15" stopIfTrue="1">
      <formula>$M$34="Over"</formula>
    </cfRule>
    <cfRule type="expression" dxfId="5" priority="16" stopIfTrue="1">
      <formula>$M$34="Under"</formula>
    </cfRule>
  </conditionalFormatting>
  <conditionalFormatting sqref="G27:G35">
    <cfRule type="expression" dxfId="4" priority="17" stopIfTrue="1">
      <formula>$N27="Adjust"</formula>
    </cfRule>
  </conditionalFormatting>
  <conditionalFormatting sqref="C27">
    <cfRule type="expression" dxfId="3" priority="2" stopIfTrue="1">
      <formula>$M$27="Over"</formula>
    </cfRule>
    <cfRule type="expression" dxfId="2" priority="3" stopIfTrue="1">
      <formula>$M$27="Under"</formula>
    </cfRule>
  </conditionalFormatting>
  <conditionalFormatting sqref="G44">
    <cfRule type="expression" dxfId="1" priority="73" stopIfTrue="1">
      <formula>$N36="Adjust"</formula>
    </cfRule>
  </conditionalFormatting>
  <conditionalFormatting sqref="G36">
    <cfRule type="expression" dxfId="0" priority="1" stopIfTrue="1">
      <formula>$N36="Adjust"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Copy_AvCAIPR">
                <anchor moveWithCells="1" sizeWithCells="1">
                  <from>
                    <xdr:col>11</xdr:col>
                    <xdr:colOff>66675</xdr:colOff>
                    <xdr:row>4</xdr:row>
                    <xdr:rowOff>38100</xdr:rowOff>
                  </from>
                  <to>
                    <xdr:col>13</xdr:col>
                    <xdr:colOff>304800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Copy_AvCAIPR_warnings">
                <anchor moveWithCells="1" sizeWithCells="1">
                  <from>
                    <xdr:col>11</xdr:col>
                    <xdr:colOff>66675</xdr:colOff>
                    <xdr:row>11</xdr:row>
                    <xdr:rowOff>95250</xdr:rowOff>
                  </from>
                  <to>
                    <xdr:col>13</xdr:col>
                    <xdr:colOff>304800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Data</vt:lpstr>
      <vt:lpstr>Profile</vt:lpstr>
      <vt:lpstr>New v Old Wrap</vt:lpstr>
      <vt:lpstr>AA Workings</vt:lpstr>
      <vt:lpstr>Agreed Vs Current + New</vt:lpstr>
      <vt:lpstr>Agreed Vs Current (AIPR)</vt:lpstr>
      <vt:lpstr>Copy</vt:lpstr>
      <vt:lpstr>COPY1</vt:lpstr>
      <vt:lpstr>COPY2</vt:lpstr>
      <vt:lpstr>Profile!Print_Area</vt:lpstr>
      <vt:lpstr>Total_Wrap_Admin_Fee</vt:lpstr>
    </vt:vector>
  </TitlesOfParts>
  <Company>Boyce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jnicholls</dc:creator>
  <cp:lastModifiedBy>Jim Nicholls</cp:lastModifiedBy>
  <cp:lastPrinted>2014-05-27T06:44:28Z</cp:lastPrinted>
  <dcterms:created xsi:type="dcterms:W3CDTF">2009-07-14T23:38:51Z</dcterms:created>
  <dcterms:modified xsi:type="dcterms:W3CDTF">2020-06-25T05:48:07Z</dcterms:modified>
</cp:coreProperties>
</file>